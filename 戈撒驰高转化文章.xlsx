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<sst xmlns="http://schemas.openxmlformats.org/spreadsheetml/2006/main" count="746" uniqueCount="605">
  <si>
    <t>笔记ID</t>
  </si>
  <si>
    <t>笔记类型</t>
  </si>
  <si>
    <t>笔记标题</t>
  </si>
  <si>
    <t>笔记正文</t>
  </si>
  <si>
    <t>字符数</t>
  </si>
  <si>
    <t>点赞数</t>
  </si>
  <si>
    <t>收藏数</t>
  </si>
  <si>
    <t>评论数</t>
  </si>
  <si>
    <t>分享数</t>
  </si>
  <si>
    <t>总互动</t>
  </si>
  <si>
    <t>作者昵称</t>
  </si>
  <si>
    <t>作者ID</t>
  </si>
  <si>
    <t>发布IP</t>
  </si>
  <si>
    <t>发布时间</t>
  </si>
  <si>
    <t>作者主页</t>
  </si>
  <si>
    <t>笔记链接</t>
  </si>
  <si>
    <t>笔记标签</t>
  </si>
  <si>
    <t>CTR</t>
  </si>
  <si>
    <t>互动率</t>
  </si>
  <si>
    <t>回淘率</t>
  </si>
  <si>
    <t>68839c35000000000d0259ce</t>
  </si>
  <si>
    <t>normal</t>
  </si>
  <si>
    <t>六年级娃实测：身高定制书包超实用！</t>
  </si>
  <si>
    <r>
      <rPr>
        <sz val="11"/>
        <color theme="1"/>
        <rFont val="微软雅黑"/>
        <charset val="134"/>
      </rPr>
      <t>果果今年六年级，课本习题已经堆到像小山！为了她小学这最后一年，也为初中做准备，换书包我超认真！研究了一圈，锁定了戈撒驰和贝克曼两款口碑很好的护脊书包，买回来实测后挑到了适合做初中生书包的宝藏书包！实测重点：六年级背得舒服，初中也能继续用·</t>
    </r>
    <r>
      <rPr>
        <sz val="11"/>
        <color theme="1"/>
        <rFont val="Segoe UI Emoji"/>
        <charset val="134"/>
      </rPr>
      <t>✅</t>
    </r>
    <r>
      <rPr>
        <sz val="11"/>
        <color theme="1"/>
        <rFont val="微软雅黑"/>
        <charset val="134"/>
      </rPr>
      <t xml:space="preserve"> 护脊减负戈撒驰：后背内侧隐藏得有身高刻度，140-180cm身高均可调节，按照果果身高调好之后，背上身就像是量身定制一样，还真是“高”定包，刚好贴合后背！内置的U型铝制支撑杆，符合孩子脊柱曲线，结合背板稳稳支撑起重量，娃腰背自然挺直，正确背负后，减压效果能达64.8%，十斤重的书包背出了三斤的轻感，难怪果果说比平时的书包好背多了贝克曼：固定140-175cm，内置S型护脊铝条，有支撑力，减压效果是40%·</t>
    </r>
    <r>
      <rPr>
        <sz val="11"/>
        <color theme="1"/>
        <rFont val="Segoe UI Emoji"/>
        <charset val="134"/>
      </rPr>
      <t>✅</t>
    </r>
    <r>
      <rPr>
        <sz val="11"/>
        <color theme="1"/>
        <rFont val="微软雅黑"/>
        <charset val="134"/>
      </rPr>
      <t>容量戈撒驰：扩容+分层设计，六年级30L完全够用，到初中扩容拉链一打开秒变35L。主袋能装书本+作业+练习册，多功能收纳仓放钥匙、便利贴，一目了然，他们家大容量的笔盒也很适合文具多的学生。还有个前袋放衣服、运动装备，小升初过渡无压力~贝克曼：35L大容量，对小学来说有点大，初中是够用的，分层比较简单，收纳的时候需要孩子自己合理规划·</t>
    </r>
    <r>
      <rPr>
        <sz val="11"/>
        <color theme="1"/>
        <rFont val="Segoe UI Emoji"/>
        <charset val="134"/>
      </rPr>
      <t>✅</t>
    </r>
    <r>
      <rPr>
        <sz val="11"/>
        <color theme="1"/>
        <rFont val="微软雅黑"/>
        <charset val="134"/>
      </rPr>
      <t>细节戈撒驰背垫是3D眼蜂窝网面+中空凹槽，跑跳10分钟，后背都没有闷汗；而且侧兜较深，放水杯很稳当。贝克曼透气也不错，侧兜比较适合放大一些的水杯。对比下来，我们选了戈撒驰，娃背得舒服，妈也更省心。·建议：如果孩子六年级，提前选一款能过渡到初中的护脊书包真的很重要，省钱又省心！戈撒驰这款从设计到容量都很合适，推荐给同样操心的宝妈们~#Gotyasatch护脊书包[话题]# #戈撒驰护脊书包[话题]# #gotyasatch书包[话题]# #戈撒驰书包[话题]# #德国戈撒驰书包[话题]# #小学生书包[话题]# #戈撒驰身高定制书包[话题]# #护脊书包[话题]# #大容量书包[话题]# #护脊书包分享[话题]# #初中生书包[话题]# #高颜值书包[话题]# #书包分享[话题]# #戈撒驰高定护脊书包[话题]#</t>
    </r>
  </si>
  <si>
    <t>果然妈妈吖</t>
  </si>
  <si>
    <t>637f9436000000001f017452</t>
  </si>
  <si>
    <t>河北</t>
  </si>
  <si>
    <t>2025-07-26 03:44:26</t>
  </si>
  <si>
    <t>https://www.xiaohongshu.com/user/profile/637f9436000000001f017452?&amp;xsec_source=pc_note</t>
  </si>
  <si>
    <t>https://www.xiaohongshu.com/discovery/item/68839c35000000000d0259ce?app_platform=android&amp;ignoreEngage=true&amp;app_version=8.47.0&amp;share_from_user_hidden=true&amp;xsec_source=app_share&amp;type=normal&amp;xsec_token=CBuSUtunJk9YTYeP1cz6p25i62wQ2aE3YBzH7NiROMToc=&amp;author_share=1</t>
  </si>
  <si>
    <t>Gotyasatch护脊书包,戈撒驰护脊书包,gotyasatch书包,戈撒驰书包,德国戈撒驰书包,小学生书包,戈撒驰身高定制书包,护脊书包,大容量书包,护脊书包分享,初中生书包,高颜值书包,书包分享,戈撒驰高定护脊书包</t>
  </si>
  <si>
    <t>68886af7000000002301bf48</t>
  </si>
  <si>
    <t>疯了吧❗是谁给小学生安排这个书包的啊❓</t>
  </si>
  <si>
    <t>过完暑假娃就上五年级了，课业猛增，书包越来越重，已经直接关系到孩子的脊柱健康和学习心情了，为了让他背包不弯腰，同时也把升学准备提上日程，作为过来人（老大已上岸），我直接给娃换了一个护脊书包，今天来聊聊选购心得+升学小攻略~√身高定制。给小学生安排这款护脊书包的首要原因是它可根据孩子的身高定制调节，货真价实的“高”定包，从1米4到1米8都可以用，小升初都不用换书包，直接当初中生书包！√护脊减负。我家老大以前就是没注意，每天上下学背着 “乌龟壳”，现在都有点驼背。本身男孩就不怎么注意这方面，真等长大了就更难纠正了，所以安排护脊书包很有必要。戈撒驰内置的U型铝制支撑杆，模拟人体脊柱曲线的设计，能更好贴合孩子后背，结合背板形成稳定的支撑力，有效保护脊柱。调好身高刻度，扣好胸扣、腰扣、肩扣后同样的书本背起来轻松多了，减负效果从孩子挺拔的身躯就能看出来~√大容量+小细节。扩容设计很贴心，娃小学30L的容量妥妥够用，到了初中课业更多，到时候扩容拉链一拉开，又多了5L可以用。主隔层轻松装下语数英课本+各种练习册，侧兜放水杯、雨伞，配套的笔盒收纳各种笔、尺子，还有个前袋能塞下一些体育用具，所有物品都能放得井井有条！书包不是那种很软的材质，看起来是板正有型的，而且还防水，太适合这个年龄段的小男孩了。升学指南五年级就要开始关注目标初中（公立对口/民办摇号/特色班等）的招生政策了！信息差很关键，多和老师沟通，关注官方发布。其次家长自己先稳住！避免过度焦虑传递给孩子。多鼓励，少比较，帮助孩子建立自信，积极面对挑战。选对护脊书包是孩子健康学习的基础，升学准备需要智慧、耐心和科学的规划。希望这份来自“过来人”的指南能帮到你！#Gotyasatch护脊书包[话题]# #戈撒驰护脊书包[话题]# #gotyasatch书包[话题]# #戈撒驰书包[话题]# #德国戈撒驰书包[话题]#  #戈撒驰身高定制书包[话题]#  #小学生书包[话题]# #大容量书包[话题]#  #初中生书包[话题]# #戈撒驰高定护脊书包[话题]#</t>
  </si>
  <si>
    <t>慧慧</t>
  </si>
  <si>
    <t>5981238382ec3924b5fd6827</t>
  </si>
  <si>
    <t>浙江</t>
  </si>
  <si>
    <t>2025-07-29 07:04:12</t>
  </si>
  <si>
    <t>https://www.xiaohongshu.com/user/profile/5981238382ec3924b5fd6827?&amp;xsec_source=pc_note</t>
  </si>
  <si>
    <t>https://www.xiaohongshu.com/discovery/item/68886af7000000002301bf48?app_platform=android&amp;ignoreEngage=true&amp;app_version=8.47.0&amp;share_from_user_hidden=true&amp;xsec_source=app_share&amp;type=normal&amp;xsec_token=CBtaPkwJ0ri0aNzuGoBEzszOZKftBY7y59CALcBYFM8AQ=&amp;author_share=1</t>
  </si>
  <si>
    <t>Gotyasatch护脊书包,戈撒驰护脊书包,gotyasatch书包,戈撒驰书包,德国戈撒驰书包,戈撒驰身高定制书包,小学生书包,大容量书包,初中生书包,戈撒驰高定护脊书包</t>
  </si>
  <si>
    <t>689c2c3f000000001b01f510</t>
  </si>
  <si>
    <t>护脊书包测评：拯救娃的驼背危机！</t>
  </si>
  <si>
    <t>✨四升五课本和作业量巨增，娃背旧书包回到家总会揉肩膀，小背影肉眼可见的微驼…升学拼的不只是分数，更是好身体。老母亲研究了两大顶流护脊书包——戈撒驰vsGMT，来看看哪款更适合我家娃！⬇️--✨开箱第一眼！颜值控暴击，戈撒驰暗黑机能风+荧光绿线条的配色，哑光耐磨面料，符合我家娃不羁随性的个性。GMT是学院风，方正规整，乖乖学生可以pick！--✨【理性四维对比】1️⃣成长兼容性戈撒驰：身高定制书包，后背暗藏身高刻度尺，140-180cm自由调，对我们刚好一米四的娃很友好。按身高调好后完美贴合后背，跑跳追闹稳当不晃悠。GMT，固定档位150-180cm。2️⃣护脊减负戈撒驰：U型铝制支撑杆+3D背板，背上的一刹那，小腰板就挺直了，很神奇！不会拉扯身体。肩带+腰带+胸带，把重量分散到腰背，官方实测减负效果达64.8%！我按照自己的身高调到160cm试背，感觉也很轻松，负重感不明显。而且在现在三十多度的高温天气下，背着不会觉得闷，透气性不错。GMT：S型护脊铝条+背板，支撑还不错。3️⃣容量收纳戈撒驰：分区多！主隔层装书本、练习册、各科作业，多功能仓塞剪刀、胶水和执勤卡等小物件。弹力前袋连娃的足球都塞得进，侧兜放大水杯，东西各归其位！戳我的还有它30L+5L扩容的设计，小学30L够用，等小升初当初中生书包用时，扩容拉链打开能多5L，很实用！PS：戈撒驰家的笔袋也很能装，几十支笔轻松装下GMT：30L容量，有两个大隔层，前面小拉链袋放文具，侧兜放纸巾和水杯，日常也够用。4️⃣设计细节戈撒驰：反光条有好几处，面积大。夜间实测，反光条亮度高，很安全。侧边袋带锁扣，要正儿八经去拉才能拉开，防盗性max。GMT：有反光条设计。结论戈撒驰身高定制这个点真的无法拒绝，从四年级背到初中没问题，妥妥的长期投资，而且减负效果明显，细节设计实用又安全，颜值还踩在我们的审美上，闭眼入了！#Gotyasatch护脊书包[话题]##戈撒驰护脊书包[话题]##gotyasatch书包[话题]##戈撒驰书包[话题]##德国戈撒驰书包[话题]##护脊书包[话题]##大容量书包[话题]##初中生书包[话题]##戈撒驰高定护脊书包[话题]##戈撒驰身高定制书包[话题]#</t>
  </si>
  <si>
    <t>GABY WOW</t>
  </si>
  <si>
    <t>5540cda5af8147407f13b4c6</t>
  </si>
  <si>
    <t>上海</t>
  </si>
  <si>
    <t>2025-08-13 10:50:37</t>
  </si>
  <si>
    <t>https://www.xiaohongshu.com/user/profile/5540cda5af8147407f13b4c6?&amp;xsec_source=pc_note</t>
  </si>
  <si>
    <t>https://www.xiaohongshu.com/discovery/item/689c2c3f000000001b01f510?app_platform=android&amp;ignoreEngage=true&amp;app_version=8.47.0&amp;share_from_user_hidden=true&amp;xsec_source=app_share&amp;type=normal&amp;xsec_token=CBJ7yT-hrOCpZjOJSoNJYPlkKZkfIGCoK_w4OFFp3rmog=&amp;author_share=1</t>
  </si>
  <si>
    <t>Gotyasatch护脊书包,戈撒驰护脊书包,gotyasatch书包,戈撒驰书包,德国戈撒驰书包,护脊书包,大容量书包,初中生书包,戈撒驰高定护脊书包,戈撒驰身高定制书包</t>
  </si>
  <si>
    <t>689c56af000000001d01d09f</t>
  </si>
  <si>
    <t>魔都妈妈 | 踩雷后才懂护脊书包的好‼️</t>
  </si>
  <si>
    <t>五年级的小姑娘正是长身体的时候体态这事儿真得上心❤就说我家吐司吧，去年检查出骨盆前倾站着总爱挺肚子还伴有高低肩估计和练小提琴有关.当了妈才知道孩子长身体的时候脊椎健康、体态问题真是一点都马虎不得连每天背着的书包，都得好好挑挑才行.妈妈们听说过可以身高定制的书包吗？我第一次看到的时候也是很惊讶戈撒驰护脊书包——孩子专属的“高”定包✅身高在140-180cm区间内可以，根据孩子实际身高灵活调节，上了初中也能当初中生书包用，不用担心书包不合身，护脊效果大打折扣‼️吐司背上就跟我说，这书包跟以前的真不一样↓.⭕【护脊减负，孩子轻松】以前的书包后背软趴趴的，重量全压在肩膀和腰上长时间乘坐地铁或走路，到家后肩膀很吃力而戈撒驰护脊书包采用U型铝制支架杆+3D背板贴在背上像第二层皮肤，能稳稳顶住书包重量和外力撞击按身高调好书包，扣好肩带、胸扣和腰扣减负效果能达64.8%难怪吐司说背着轻松多了，不用刻意叮嘱也能挺直背.⭕【容量大，合理收纳】现在不管是小学生书包还是初中生书包除了装书外，还要带各种社团活动装备吐司要带琴谱、京剧鞋、京剧服和科创社团的小工具如果书包不够大，每次都是大包小包进校门[汗颜R].这款书包是35L扩容设计分层很科学：2个主隔层+多功能收纳袋+创意前袋可以装防晒衣、球鞋、画笔等额外的生活用品很适合住宿、兴趣班和户外运动多的孩子我周围体制外学校的孩子就特别喜欢这种因为他们课后社团多，装备对容量需求也大！.陪孩子一起长高的成长型书包从结构、支撑、收纳都为孩子“减轻负担”细节上也很用心❤反光条设计让孩子夜行更安全小高和初中生家长，不心动吗？.新学期，选对一个好书包不仅是给孩子新装备，更是给她成长的新动力带着新目标，一起加油吧！#Gotyasatch护脊书包[话题]# #戈撒驰护脊书包[话题]##gotyasatch书包[话题]##戈撒驰书包[话题]# #德国戈撒驰书包[话题]# #护脊书包[话题]# #大容量书包[话题]# #初中生书包[话题]# #戈撒驰高定护脊书包[话题]# #戈撒驰身高定制书包[话题]# @日常薯 @生活薯 @小红书创作助手 @薯条小助手</t>
  </si>
  <si>
    <t>小吐司妈妈</t>
  </si>
  <si>
    <t>5acefe494eacab46d1997abe</t>
  </si>
  <si>
    <t>2025-08-14 03:35:09</t>
  </si>
  <si>
    <t>https://www.xiaohongshu.com/user/profile/5acefe494eacab46d1997abe?&amp;xsec_source=pc_note</t>
  </si>
  <si>
    <t>https://www.xiaohongshu.com/discovery/item/689c56af000000001d01d09f?app_platform=android&amp;ignoreEngage=true&amp;app_version=8.47.0&amp;share_from_user_hidden=true&amp;xsec_source=app_share&amp;type=normal&amp;xsec_token=CBJ7yT-hrOCpZjOJSoNJYPln37Qrxzf0CXk-YVJ775zfI=&amp;author_share=1</t>
  </si>
  <si>
    <t>688879160000000023031045</t>
  </si>
  <si>
    <t>护脊书包实测！开学季选购看准减负+调节</t>
  </si>
  <si>
    <t>孩子马上就要小升初了, 最近总念叨书包太沉，想着干脆给她换个初中也能背的护脊书包，最好能多背几年！挑来挑去，锁定了两个口碑款：德国戈撒驰和BKM今天就来对比看看哪款更合适！✅藏在细节里的“成长友好度”戈撒驰有独研身高定制：后背内侧藏的身高刻度！140-180cm身高都能调，乔乔现在155cm，轻轻移动就到位了，等升入初中后，作为初中生书包时也只需要根据乔乔最新身高调节好刻度就能继续用，适合长远打算~✅轻≠省力，护脊减负效果更重要有些超轻书包没支撑，装多了就往下坠，反而压肩膀。这俩都有支撑，戈撒驰内置的是U型铝制支撑杆，BKM是护脊铝条，装同样重的东西上身后乔乔说都比旧书包轻，查了才知道，它们通过多点受力设计分散重量，实现科学减负，戈撒驰经专业测试能减负64.8%，10斤书背出3斤多的轻感！BKM是40%，效果也挺好～✅贴不贴合, 一背就知道戈撒驰：像“长在背上”一样稳。肩带是加宽加厚的，不硌肩膀；透气背垫摸起来软乎乎的有弹性，贴合感很好，跑跳时书包都不晃，娃弯腰系鞋带时，书包也不会往前坠。BKM：缓冲软垫很舒服，加上透气的设计，也比旧书包好多了。✅容量收纳：都是35L大容量，但用法不一样戈撒驰：30L大容量，装下15本课本+保温杯+跳绳+配套大笔袋，前袋能塞备用校服，分区清晰到娃自己都能收拾，让老母亲省事不少～等以后升入初中后做初中生书包时，拉开扩容拉链，马上又能多装5LBKM：分区也很细，三层大口袋放日常书本作业，外挂包可以放钥匙。 材质上两款都是环保面料，抗造防水。我们最后留下了戈撒驰，选护脊书包别只看“当下舒服”，能陪孩子从小学用到高中的，才是真划算～选对了就是对孩子未来的有效投资，希望这份详细攻略能帮到同样纠结的你！#Gotyasatch护脊书包[话题]# #戈撒驰护脊书包[话题]# #gotyasatch书包[话题]# #戈撒驰书包[话题]# #德国戈撒驰书包[话题]# #小学生书包[话题]# #护脊书包[话题]# #大容量书包[话题]# #护脊书包分享[话题]# #初中生书包[话题]# #戈撒驰身高定制书包[话题]##高颜值书包[话题]# #书包分享[话题]# #戈撒驰高定护脊书包[话题]#</t>
  </si>
  <si>
    <t>乔乔Joela_mom</t>
  </si>
  <si>
    <t>5db2cb310000000001004eda</t>
  </si>
  <si>
    <t>广东</t>
  </si>
  <si>
    <t>2025-07-29 08:49:51</t>
  </si>
  <si>
    <t>https://www.xiaohongshu.com/user/profile/5db2cb310000000001004eda?&amp;xsec_source=pc_note</t>
  </si>
  <si>
    <t>https://www.xiaohongshu.com/discovery/item/688879160000000023031045?app_platform=android&amp;ignoreEngage=true&amp;app_version=8.47.0&amp;share_from_user_hidden=true&amp;xsec_source=app_share&amp;type=normal&amp;xsec_token=CBtaPkwJ0ri0aNzuGoBEzszJASWLmY9XrhZ88K0oCnT6Y=&amp;author_share=1</t>
  </si>
  <si>
    <t>Gotyasatch护脊书包,戈撒驰护脊书包,gotyasatch书包,戈撒驰书包,德国戈撒驰书包,小学生书包,护脊书包,大容量书包,护脊书包分享,初中生书包,戈撒驰身高定制书包,高颜值书包,书包分享,戈撒驰高定护脊书包</t>
  </si>
  <si>
    <t>6888634d000000002501ab4b</t>
  </si>
  <si>
    <t>连夜下单护脊书包，承包孩子的小初高！</t>
  </si>
  <si>
    <t>姐姐小升初时，书包天天都是快撑爆的状态，小小的身板承受千斤重。但一想快毕业了，就准备初中再换书包，可没想到不合身的书包严重影响了她的体态，现在纠正起来太困难了！今年弟弟马上五年级，本身男孩的体态习惯就比女孩差，再加上姐姐的经历，我赶紧趁暑假给他挑了一款减负的护脊书包——德国戈撒驰护脊书包，用过之后不得不说，这次买对了！.一个实用又特别的独研细节设计：它能根据身高精准调节，适配140-180cm的孩子，妥妥的“高”定包！弟弟155cm，调到对应刻度，就像专门为他定制的一样，背上贴得紧紧的，初中生书包也直接内定它了.护脊也不是智商税，内置的U型铝制支撑杆，是专业级登山包同款设计，模拟人体脊柱曲线，结合3D背板，给孩子稳稳的支撑力，再也不用担心书包负重挤压脊柱，而且加上可卸力的胸扣、腰扣、肩扣，十斤的书包背起来像只有三斤多，弟弟背上之后说轻多了，跑跳都不会“打”他的背，减负效果实打实地能看见。.人性化的容量分区！30+5L的扩容设计，无论小学高年级还是初中都能满足。两个主隔层放书本、作业、饭盒还有他们家配套大容量笔盒，侧边放水杯、雨伞，另一边是带拉链的，放零钱、钥匙不担心丢。弟弟很喜欢它的前袋，拉开放衣服、足球完全没问题，直接解放双手。颜值也深得他心，经典配色，大方又亮眼，材质深得老母亲的心，它采用的环保面料不仅契合可持续发展的理念，而且质感超好，抗造扎实，耐磨耐用还防水，包身设计得有反光条，走夜路也很安全。.换了护脊书包之后，感觉他都更爱学习了哈哈，无论是背上书包走路还是坐在课桌前学习，体态都可好了，这波入手不亏！#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</si>
  <si>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琥珀</t>
  </si>
  <si>
    <t>586b5cf75e87e7383463a1a0</t>
  </si>
  <si>
    <t>河南</t>
  </si>
  <si>
    <t>2025-07-29 09:16:53</t>
  </si>
  <si>
    <t>https://www.xiaohongshu.com/user/profile/586b5cf75e87e7383463a1a0?&amp;xsec_source=pc_note</t>
  </si>
  <si>
    <t>https://www.xiaohongshu.com/discovery/item/6888634d000000002501ab4b?app_platform=android&amp;ignoreEngage=true&amp;app_version=8.47.0&amp;share_from_user_hidden=true&amp;xsec_source=app_share&amp;type=normal&amp;xsec_token=CBtaPkwJ0ri0aNzuGoBEzszOe5cqiENKl42PiD-DSlUGg=&amp;author_share=1</t>
  </si>
  <si>
    <t>Gotyasatch护脊书包,戈撒驰护脊书包,gotyasatch书包,戈撒驰书包,德国戈撒驰书包,小学生书包,护脊书包,大容量书包,护脊书包分享,初中生书包,高颜值书包,书包分享,戈撒驰高定护脊书包,戈撒驰身高定制书包</t>
  </si>
  <si>
    <t>687f4f8d0000000010024eca</t>
  </si>
  <si>
    <t>护脊书包怎么选？有效护脊＞品牌＞颜值</t>
  </si>
  <si>
    <t>‼️超500万青少年受脊柱侧弯困扰‼️约80%的青少年存在形体不良的问题之前我家娃在学校做【脊柱侧弯筛查】，结果是4度，介于正常和低风险之间问了在骨科上班的同学，他跟我说：孩子每天背着很重的书包，脖子会代偿发力，久而久之就容易引起脊柱问题看着孩子背着沉甸甸的书包，走路不自觉地弓着背，是时候把健康护脊提上日程了！‍⚕提早预防的关键，就是减轻脊柱受压！✅为什么要给孩子用护脊书包？✅护脊书包怎么选？京妈总结在图2、图3里了，家长们真的要认真看看❤综合对比好多款，我给孩子选了戈撒驰护脊书包！这可是能跟着孩子“长”个的身高定制书包，背后隐藏刻度尺，孩子身高在140-180cm随意调，所以我也叫它“高”定包。以前的书包背不了多久就会卡肩膀，需要更换，现在刻度一调，背起来服服帖帖，从小学用到初中都没问题~‍♀很多人选护脊书包有个误区，认为【轻就是护脊】但其实书包自重轻不代表背着轻❌，护脊效果好不好，关键看护脊设计是否科学！✅戈撒驰在这方面就做得很好，内置U型铝制支撑杆搭配立体高弹背板，时刻给足支撑力。再加上四点承托设计，让肩部、胸部、腰部形成多点受力，把肩部重量分散到腰背部，十斤的书包背出三斤轻感，专业数据显示减负能达64.8%！娃背上后，身姿都挺拔了不少✅35L扩容大容量+分层设计，收纳变得很简单。课本、试卷、水杯、雨伞轻轻松松装下，甚至课外活动要用的足球、乒乓球拍都能塞进前袋！我还给儿子准备了同款大容量笔袋，再也不用担心孩子笔、尺子随便乱丢了。晚上放学从路灯下经过，书包上的反光条亮闪闪的，远远就能看见，安全感拉满！‍♀️护脊这事真等不得，早一天行动，少一分隐患要是你也在给娃挑护脊书包，不妨看看戈撒驰❤️能跟着孩子“长大”的书包，非常省心！#Gotyasatch护脊书包[话题]##戈撒驰护脊书包[话题]##gotyasatch书包[话题]##戈撒驰书包[话题]##德国戈撒驰书包[话题]##小学生书包[话题]##护脊书包[话题]##大容量书包[话题]##护脊书包分享[话题]##初中生书包[话题]##高颜值书包[话题]##书包分享[话题]##戈撒驰高定护脊书包[话题]##戈撒驰身高定制书包[话题]#</t>
  </si>
  <si>
    <t>京妈说</t>
  </si>
  <si>
    <t>556cd2ede58d131daeb485e9</t>
  </si>
  <si>
    <t>天津</t>
  </si>
  <si>
    <t>2025-07-22 09:33:46</t>
  </si>
  <si>
    <t>https://www.xiaohongshu.com/user/profile/556cd2ede58d131daeb485e9?&amp;xsec_source=pc_note</t>
  </si>
  <si>
    <t>https://www.xiaohongshu.com/discovery/item/687f4f8d0000000010024eca?app_platform=android&amp;ignoreEngage=true&amp;app_version=8.47.0&amp;share_from_user_hidden=true&amp;xsec_source=app_share&amp;type=normal&amp;xsec_token=CBcmwSdrBEFQSlPQtE-mrJX55_e3Dji6Ya2XEYfgR4xR8=&amp;author_share=1</t>
  </si>
  <si>
    <t>6895ef150000000003031c2d</t>
  </si>
  <si>
    <t>再不抓体态就晚了！国际学校初中生书包实测</t>
  </si>
  <si>
    <t>自从小孩哥进入初中，青春期变化实在太快了！个头猛窜不说，整个气质都大变样，短短一年，从拉小提琴的文艺娃转型为摇滚style的电吉他手国际学校开学早，还有两周时间，小孩哥就升八年级了！除了新开选课，还有更多社团活动，他摩拳擦掌要参加——这意味着每天要背更多的东西去上学书本、电脑、体育服、球鞋、乐器、谱夹……书包升级刻不容缓，老母亲赶紧研究一波～护脊书包有利于孩子的脊柱健康，而且这么多年观察下来，身边国际学校娃，最常见背的就是戈撒驰和贝克曼，咱就对比测评一下它俩吧1️⃣身高定制戈撒驰：从140-180cm随意调节，根据身高进行定制，属于是学生中的“高”定包了，操作简单，小孩哥自己就能调。调好后，书包与孩子后背贴合更佳，持续呵护脊柱健康。贝克曼：固定140-175cm可用2️⃣护脊减负戈撒驰：U型铝制支撑杆自然贴合脊柱曲线，还能吸收书包的撞击力保护脊柱；结合背垫、肩带、胸带和腰带，把身体包裹后，相当于增加了受力面积，背着自然就轻了，减负效果能达64.8%贝克曼：仿生S型铝支架，支撑不错，减负效果能达40%3️⃣收纳系统戈撒驰：30L，分层科学，主副隔层装笔记本电脑、课本、体育服、配套的大容量笔袋，多功能仓放计算器和小物件；哥哥还开发了创意外挂，收纳球鞋袋，直接解放双手了贝克曼：30L，两隔层+前兜，侧兜适合放大水杯4️⃣款式颜色小孩哥现在什么都要追求酷，他喜欢戈撒驰经典系列的渐变薄荷色，灰色+浅绿，书包正面再配个其他颜色的个性标记带，又酷又艺术，不愧是我亲自生出来的娃对比下来，本次初中生书包升级，我们最终选择戈撒驰护脊书包！小孩哥已经迫不及待想返校了，每天都念叨好想回学校～其实小孩哥还有一项秘密计划，下个月再公布啦～#国际学校[话题]# #国际学校初中生[话题]# #Gotyasatch护脊书包[话题]#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 #书包测评[话题]#</t>
  </si>
  <si>
    <t>s</t>
  </si>
  <si>
    <t>匪头小白</t>
  </si>
  <si>
    <t>584a272882ec395eee0b91e4</t>
  </si>
  <si>
    <t>北京</t>
  </si>
  <si>
    <t>2025-08-09 09:11:43</t>
  </si>
  <si>
    <t>https://www.xiaohongshu.com/user/profile/584a272882ec395eee0b91e4?&amp;xsec_source=pc_note</t>
  </si>
  <si>
    <t>https://www.xiaohongshu.com/discovery/item/6895ef150000000003031c2d?app_platform=android&amp;ignoreEngage=true&amp;app_version=8.47.0&amp;share_from_user_hidden=true&amp;xsec_source=app_share&amp;type=normal&amp;xsec_token=CBnjRxmTkdR3m3KskfN9ZuNcicUbxdVRRkg1sRcqpzMZo=&amp;author_share=1</t>
  </si>
  <si>
    <t>国际学校,国际学校初中生,Gotyasatch护脊书包,戈撒驰护脊书包,gotyasatch书包,戈撒驰书包,德国戈撒驰书包,小学生书包,护脊书包,大容量书包,护脊书包分享,初中生书包,高颜值书包,书包分享,戈撒驰高定护脊书包,戈撒驰身高定制书包,书包测评</t>
  </si>
  <si>
    <t>6860dc540000000023005fbd</t>
  </si>
  <si>
    <t>跨国转学能适应吗？国际初中生书包怎么选？</t>
  </si>
  <si>
    <t>✈️我家因为爸爸工作调动，全家一起回杭州了。哥哥目前在杭州国际学校读8年级，跨国转学一学期下来，适应没啥问题，给大家分享下美国初中和国内国际学校课程上的差别美初：5门主课 英、数、科、历史、体育+3门选修的副课国际学校：8门主课：英、数、语、物、化、生、史、地6门副课：道法、体育、戏剧、美术、电脑、劳技2门兴趣课这边数学分中教课+外教课，学得更多更细，难度也比美国更难。英语是纯外教两边差不多，定期有整本书阅读，每周有测试。平时电脑上的作业有IXL和MYON。像语文和一些副课、兴趣课都是美国没有的。而且很多课程都是分层教学，课间就是背起重重的书包在不同课堂间穿梭，一个个小身躯被压得弯腰驼背。为了保护脊柱，也为升高中做准备，我给他换了个更合适的初中生书包——德国品牌戈撒驰护脊书包。我选它的几大理由1️⃣后背内侧隐藏了身高刻度，可根据孩子身高定制，据我所知其它护脊书包可做不到！可以说是“高”定包咯，140-180cm可调，孩子现在是发育期，身高猛涨，选择可调节的书包能确保时刻贴合身体曲线。2️⃣内置U型铝制支撑杆，符合人体工学设计，更贴合孩子背部曲线，能有效防止书包内部的压力挤压脊柱也不会驼背。结合背板构成双层结构，正确背负后，整个书包的重量被分散到腰部、背部，多点受力，不再单一让肩膀承重，轻松许多！胸带+腰带固定后，跑动起来更稳固，孩子课间走班也不担心书包撞击脊柱了3️⃣30L大容量，多隔层设计，主隔层还带电脑收纳位，装作业、书本、饭盒都没问题，他们家配套笔袋我也买了，中性笔、铅笔、橡皮等学习用具都可以放进去，水杯、雨伞放侧边，拿取方便。4️⃣这个能根据身高定制的护脊书包立体挺阔的外形搭配流畅线条，金属锁扣+皮质拉链头细节满满，整体高级又有质感，进校就成为“明星包”，而且面料扎实防水，实用性并存~♥️孩子抓学习，家长就要抓健康，选护脊又实用的初中生书包，真心靠谱！#Gotyasatch护脊书包[话题]# #戈撒驰护脊书包[话题]# #gotyasatch书包[话题]# #戈撒驰书包[话题]# #德国戈撒驰书包[话题]# #小学生书包[话题]# #护脊书包[话题]# #大容量书包[话题]# #护脊书包分享[话题]# #初中生书包[话题]# #大容量书包[话题]# #高颜值书包[话题]# #书包分享[话题]#</t>
  </si>
  <si>
    <t>杭州夫妻美国陪读日记</t>
  </si>
  <si>
    <t>62dcc8b8000000001f017240</t>
  </si>
  <si>
    <t>2025-06-29 12:49:37</t>
  </si>
  <si>
    <t>https://www.xiaohongshu.com/user/profile/62dcc8b8000000001f017240?&amp;xsec_source=pc_note</t>
  </si>
  <si>
    <t>https://www.xiaohongshu.com/discovery/item/6860dc540000000023005fbd?app_platform=android&amp;ignoreEngage=true&amp;app_version=8.47.0&amp;share_from_user_hidden=true&amp;xsec_source=app_share&amp;type=normal&amp;xsec_token=CBmOjP91oxG2VSIOpAFjHVVSNhmJGDxjJrLVaoktwOjQQ=&amp;author_share=1</t>
  </si>
  <si>
    <t>Gotyasatch护脊书包,戈撒驰护脊书包,gotyasatch书包,戈撒驰书包,德国戈撒驰书包,小学生书包,护脊书包,大容量书包,护脊书包分享,初中生书包,高颜值书包,书包分享</t>
  </si>
  <si>
    <t>68609b770000000024009804</t>
  </si>
  <si>
    <t>考试周的初中生书包✅沉到背不动？</t>
  </si>
  <si>
    <t>▷[派对R]考试周就这么水灵灵地来了~周末大部分时间都泡在图书馆自习，需要的东西 zui 好一次带齐。▷新入的初中生书包已经成为我们的移动学习城堡了。要是以前的书包，这一堆东西塞不下不说，每次七七回来都是弯腰驼背的，脊柱负重严重超标，长期这样肯定受不了，赶紧给她换了这款德国品牌戈撒驰的护脊书包，护脊+减负黑科技拉满，书包背不动？不存在！[偷笑R]▷专业登山包才用的U型铝制支撑杆，它给娃安排上了，像这种模拟人体脊柱自然曲线的设计，更贴合孩子的背部曲线，里面装得再多，背上去人也是挺拔的，孩子不会因为书装的多就弯腰驼背。而且就算是长期都装得很重，书包背部结构也不容易变形▷身高定制书包不知道大家听说过没？简称“高”定包，可以根据娃的⾝高在140cm-180cm之间的尺寸任意调节，这意味着随着娃长高书包也会“长高”，U型铝制支撑杆一直正确贴合孩子脊柱，不会被长高所影响，这个设计很符合我对德国人务实专业的“刻板印象”了[偷笑R][偷笑R]▷只需要根据身高调节到对应的刻度，背上书包扣上腰扣、胸扣，收紧两侧的腰扣带和肩带，再收紧上肩扣，原本集中在肩膀的重量一下子分散开，转移到身体多个部位，看起来就像被书包包裹住，实现有效减负，所以10斤重的书包背着像只有3斤！娃怎么能不爱！▷初中生书包还有个重要的点：收纳容量不能输！看我们那么多的资料，就知道它真的太能装了！主隔层里面还有个可以装笔记本电脑的隔层，书本、试卷、笔袋都能放进去，副隔层装作业、文件袋，还有中间的扩容设计，就算是下雨天要塞件长袖校服在书包，也是够够的。两侧的多功能收纳袋可以放钥匙、雨伞，另一边放水杯，一目了然，找东西超快，翻包不会乱糟糟啦！整体采用的还是PET环保面料，我看到这个是有认证的，良心品牌。包身360度反光设计，夜间出行我也能放心了。▷进入考试倒计时了，知识可不能减负，就用护脊书包给身体减减负吧！给所有背着“知识重量”前进的娃们加油啦！祝大家考试都顺利呀！#Gotyasatch护脊书包[话题]# #戈撒驰护脊书包[话题]# #gotyasatch书包[话题]# #戈撒驰书包[话题]# #德国戈撒驰书包[话题]# #小学生书包[话题]# #护脊书包[话题]# #大容量书包[话题]# #护脊书包分享[话题]# #初中生书包[话题]# #大容量书包[话题]# #高颜值书包[话题]# #书包分享[话题]#</t>
  </si>
  <si>
    <t>七七妈碎碎念</t>
  </si>
  <si>
    <t>5b28841411be101a389f08f9</t>
  </si>
  <si>
    <t>四川</t>
  </si>
  <si>
    <t>2025-06-29 09:52:54</t>
  </si>
  <si>
    <t>https://www.xiaohongshu.com/user/profile/5b28841411be101a389f08f9?&amp;xsec_source=pc_note</t>
  </si>
  <si>
    <t>https://www.xiaohongshu.com/discovery/item/68609b770000000024009804?app_platform=android&amp;ignoreEngage=true&amp;app_version=8.47.0&amp;share_from_user_hidden=true&amp;xsec_source=app_share&amp;type=normal&amp;xsec_token=CBmOjP91oxG2VSIOpAFjHVVdb8yoJqN9K1TC8atTG78Kg=&amp;author_share=1</t>
  </si>
  <si>
    <t>6860ac060000000010011302</t>
  </si>
  <si>
    <t>护脊书包避坑指南｜选错毁脊椎！</t>
  </si>
  <si>
    <t>谁懂啊！给娃挑书包这事，真是把我折磨得够呛！刚开始没经验，带娃逛商场，娃指着花花绿绿的卡通书包眼睛放光，我一冲动就买了。哪知道这一买竟是踩雷的开始！没用多久孩子就喊肩膀酸、脖子痛，还开始弯腰驼背。检查才发现，长时间背不合适的书包对发育中的脊柱危害极大，那一刻我才意识到自己多疏忽‼️打那以后，我就开启疯狂补课模式，把市面上的书包研究了个透。今天就把 “血泪经验” 总结成避坑指南，分享给各位姐妹！选护脊书包的3个核心点：1️⃣自由调节：精准适配身高普通书包没有身高调节功能，孩子长高以后背着要么肩带过长晃晃悠悠，要么背板不合身加重脊柱负担。这款身高定制书包让我觉得超赞，我现在都叫它“高”定包，因为它后背内侧隐藏着精准的身高刻度，只需轻轻一推，就能在140cm - 180cm的区间内自由调节背幅长度 。对于这个年龄段快速长高的孩子来说，不管什么时候都能拥有贴合身形的背负体验。而且PET环保面料防水又耐磨，一包能用好久，轻松满足孩子多年的成长需求，这下不用烦恼初中生书包怎么选了！2️⃣背负系统：贴合脊柱才是王道普通书包背带窄硬，重量全压在肩膀上，脊柱长时间承受压力，容易变形。戈撒驰护脊书包内置U型铝制支撑杆，搭配上立体背板，能很好地贴合孩子背部曲线。再加上可调节胸扣和腰带，不仅能牢牢固定书包，还能将肩部重量均匀分散到腰背部，实现有效减负，真正做到专业护脊，而不是单纯减薄材料的“伪轻量护脊”。3️⃣分区设计：收纳要科学 没有分区的书包找东西超麻烦，还容易把书本压皱！这个书包35L扩容大容量，多层分区设计特别贴心，主袋空间大，课本、作业本以及同款大容量笔盒轻松放；侧袋很深，放水杯、雨伞都很稳当；还有一个多功能收纳仓，钥匙、钱包这些小物件都能分类收纳，孩子自己就能收拾得明明白白，老母亲超省心✨讲真，选对高定包真的能让孩子轻松不少～戈撒驰这款书包，护脊、收纳、颜值全在线，真心推荐给各位家长！有需要的可以去了解下，让娃背得舒服，咱们也能少操心～#Gotyasatch护脊书包[话题]##戈撒驰护脊书包[话题]##gotyasatch书包[话题]##戈撒驰书包[话题]##德国戈撒驰书包[话题]# #小学生书包[话题]##护脊书包[话题]##大容量书包[话题]##护脊书包分享[话题]##初中生书包[话题]##大容量书包[话题]##高颜值书包[话题]##书包分享[话题]##育儿分享[话题]##书包选购指南[话题]#</t>
  </si>
  <si>
    <t>单眼皮男孩</t>
  </si>
  <si>
    <t>666266d500000000030300c2</t>
  </si>
  <si>
    <t>2025-06-29 08:47:44</t>
  </si>
  <si>
    <t>https://www.xiaohongshu.com/user/profile/666266d500000000030300c2?&amp;xsec_source=pc_note</t>
  </si>
  <si>
    <t>https://www.xiaohongshu.com/discovery/item/6860ac060000000010011302?app_platform=android&amp;ignoreEngage=true&amp;app_version=8.47.0&amp;share_from_user_hidden=true&amp;xsec_source=app_share&amp;type=normal&amp;xsec_token=CBmOjP91oxG2VSIOpAFjHVVW9C1xO9imdGNgeUqJYj478=&amp;author_share=1</t>
  </si>
  <si>
    <t>Gotyasatch护脊书包,戈撒驰护脊书包,gotyasatch书包,戈撒驰书包,德国戈撒驰书包,小学生书包,护脊书包,大容量书包,护脊书包分享,初中生书包,高颜值书包,书包分享,育儿分享,书包选购指南</t>
  </si>
  <si>
    <t>689566830000000022038b27</t>
  </si>
  <si>
    <t>有小升初娃，哪款初中生书包深得他心❓</t>
  </si>
  <si>
    <t>家有小升初娃的妈妈懂这种焦虑吗？作业堆成山⛰，书包天天沉得像“大石头”，Leo放学总吵着要我帮他背，我没背一会就压得后背生疼，真怕孩子长时间背下来把脊柱压变形…加上他这半年长高了不少，旧书包肩带短，勒脖子，太遭罪了！赶紧趁暑假换个护脊书包，入手了风很大的GMT和戈撒驰，分享Leo试背的真实感受，给同样要换初中生书包的宝妈们做个参考先说共同优点：两款包身都设计了反光条，走夜路很安全，而且用的环保面料，整体质感好，挺阔有型，背几年都不会坏~✨关键点（重点看！）1⃣身高定制戈撒驰：可根据身高定制，按身高自由调节，从140cm用到180cm！比如明年长高10cm，刻度尺一推就调好了，书包与孩子背部始终保持很好的贴合，护脊效果不会受到影响。既省了多次购置书包的钱，又避免频繁换书包让脊柱反复适应压力！GMT：150-180cm通用，没法按身高精细调2⃣护脊减负戈撒驰：内置U型铝制支撑杆+3D高弹背板，贴合孩子的脊柱曲线。Leo装满书背了两小时，他说背上像有手托着腰，跑跳都不晃，装同样的东西背着比旧书包轻多了大夏天也没闷汗，透气性在线～GMT：S型护脊铝条，背板偏硬挺，Leo背了半小时后背出现汗渍3⃣收纳功能戈撒驰：35L大容量，平时两个大口袋放书本作业够用了，扩容拉链一打开还能再装5L！Leo参加学校羽毛球校队训练时，球拍装进前袋就行，不用再额外背球包了，超方便GMT：30L日常够用，研究了下放不下运动器材，需要另外备口袋单独拎着一番对比下来，我们留了戈撒驰～Leo觉得它能放下他心爱的球拍，而我基于长期主义消费习惯更看重它的身高定制功能，用到初中毕业妥妥的，太适合“蹿个儿快+有运动需求”的娃了！我还买了他家配套的笔袋，容量超大超能装。给小升初娃选书包，护脊减负是底线，能适配成长是王道，不然买半年就小了，白花钱还伤脊柱！#Gotyasatch护脊书包[话题]# #戈撒驰护脊书包[话题]# #戈撒驰高定护脊书包[话题]# #gotyasatch书包[话题]# #戈撒驰书包[话题]# #德国戈撒驰书包[话题]# #小学生书包[话题]# #护脊书包[话题]# #大容量书包[话题]# #护脊书包分享[话题]# #初中生书包[话题]# #高颜值书包[话题]# #书包分享[话题]# #戈撒驰身高定制书包[话题]#</t>
  </si>
  <si>
    <t>加油呀茜茜同学</t>
  </si>
  <si>
    <t>5c508caa0000000011011902</t>
  </si>
  <si>
    <t>湖北</t>
  </si>
  <si>
    <t>2025-08-08 04:00:39</t>
  </si>
  <si>
    <t>https://www.xiaohongshu.com/user/profile/5c508caa0000000011011902?&amp;xsec_source=pc_note</t>
  </si>
  <si>
    <t>https://www.xiaohongshu.com/discovery/item/689566830000000022038b27?app_platform=android&amp;ignoreEngage=true&amp;app_version=8.47.0&amp;share_from_user_hidden=true&amp;xsec_source=app_share&amp;type=normal&amp;xsec_token=CBnjRxmTkdR3m3KskfN9ZuNY7R69Wb4SP_Tg0hv5nfaWM=&amp;author_share=1</t>
  </si>
  <si>
    <t>Gotyasatch护脊书包,戈撒驰护脊书包,戈撒驰高定护脊书包,gotyasatch书包,戈撒驰书包,德国戈撒驰书包,小学生书包,护脊书包,大容量书包,护脊书包分享,初中生书包,高颜值书包,书包分享,戈撒驰身高定制书包</t>
  </si>
  <si>
    <t>686f276a0000000012017fa5</t>
  </si>
  <si>
    <t>孩子书包到底要不要买好点的呀？</t>
  </si>
  <si>
    <t>儿子暑假后上初中，整理他小学东西，发现书包带子磨亮了，底部也塌了。初中学业重、课本多，这旧书包肯定扛不住。前阵听邻居说，她家孩子上初中后背总疼，换了护脊书包才好点。我当时笑她讲究，现在摸着这硬邦邦的旧书包，有点慌：初中背这么多书，压着正在发育的脊椎，真不是小事。纠结要不要换个好点的护脊书包，可好点的像戈撒驰这种都上千块。怕省这点钱耽误孩子身体，可上千块买个书包又实在肉疼，这钱该花吗？#小升初[话题]# #护脊书包[话题]# #Gotyasatch护脊书包[话题]#</t>
  </si>
  <si>
    <t>https://www.xiaohongshu.com/explore/686f276a0000000012017fa5?xsec_token=MBmgL9GZA1UIy3NLUvDlO-zejatOmcBVY2z5GM7z875TQ=&amp;xsec_source=pc_pgy</t>
  </si>
  <si>
    <t>68882cfa000000001d00d693</t>
  </si>
  <si>
    <t>职场妈妈育儿经|护脊书包真的不是智商税</t>
  </si>
  <si>
    <t>Hi，宝子们～我是樱桃 ，39岁的职场妈妈家有即将四年级的小神兽去年发现孩子背书包走路总往前扯着身子走我这当妈的看着心疼！眼看就要开学，功课只会更重当务之急是给他选个真的能减负的护脊书包。做了一堆功课后果断入手戈撒驰护脊书包，现在用下来，真心觉得选对了！·最戳我的是它能根据身高定制内侧藏着身高刻度，140-180cm身高随意调，真实名副其实的“高”定包。我家娃现在160cm就算将来上了初中长到 180cm，这书包也能用。更重要的是，不管孩子长多高书包都能贴合他当下的身形！护脊效果丝毫不会打折扣毕竟合身才是护脊的基础呀！·光能跟着“长”还不够，护脊的核心得看支撑。它那U型铝制支撑杆我特意研究过不是硬邦邦的直杆而是能顺着孩子的脊椎曲线贴上去的。平时孩子跑跳后书本晃荡的力道全被这支架稳稳吸收了。难怪他说跑跳时比以前轻松多了再也没喊过后背震得疼～·支撑稳了，压力分散更关键这款的四点支撑设计是真科学：肩部顶部、臀腰部上方、稳定的底部，把原来全压在肩膀的重量，分摊到了胸部和腰部。再配上加宽加厚的肩带、高弹力背垫和厚实腰垫，孩子背着十斤书，也不会像以前那样往前扯着走了，现在每天放学回来既不喊肩膀酸，背也挺得直直的，看着就精神！·而且这款护脊书包是30+5L扩容大容量设计，就算将来当初中生书包用也妥妥够装。分区也特别贴心：主副隔层放课本和练习册伸缩袋放足球、衣服侧边放钥匙、校园卡、大水杯…以前他乱丢乱塞的毛病，居然被这书包治好了～他们家的大容量笔盒我也果断下单了包身用的是 PET 环保面料，防水耐造，孩子在学校疯玩也不怕磨坏最让我安心的是360°反光设计夜间出行安全感拉满·看着他背着书包走路昂首挺胸的样子，老母亲我终于松了口气给孩子一个挺拔身姿真可以从选对护脊书包开始呀～#Gotyasatch护脊书包[话题]# #戈撒驰护脊书包[话题]# #gotyasatch书包[话题]# #戈撒驰书包[话题]# #德国戈撒驰书包[话题]# #小学生书包[话题]# #护脊书包[话题]##大容量书包[话题]# #护脊书包分享[话题]# #初中生书包[话题]# #高颜值书包[话题]# #书包分享[话题]# #戈撒驰高定护脊书包[话题]# #戈撒驰身高定制书包[话题]#</t>
  </si>
  <si>
    <t>樱桃在成长</t>
  </si>
  <si>
    <t>5b476eeb4eacab0e3e30ea10</t>
  </si>
  <si>
    <t>2025-07-29 12:12:47</t>
  </si>
  <si>
    <t>https://www.xiaohongshu.com/user/profile/5b476eeb4eacab0e3e30ea10?&amp;xsec_source=pc_note</t>
  </si>
  <si>
    <t>https://www.xiaohongshu.com/discovery/item/68882cfa000000001d00d693?app_platform=android&amp;ignoreEngage=true&amp;app_version=8.47.0&amp;share_from_user_hidden=true&amp;xsec_source=app_share&amp;type=normal&amp;xsec_token=CBtaPkwJ0ri0aNzuGoBEzszMILnoaeDo2Tar9e_6w514c=&amp;author_share=1</t>
  </si>
  <si>
    <t>688044c4000000002400aa45</t>
  </si>
  <si>
    <t>护脊书包决赛圈3选1！！！</t>
  </si>
  <si>
    <t>救命！给娃挑护脊书包挑到崩溃！扒了3款IGR认证的热门款，因为儿子小升初，想给他换个容量大点的，所以决定在贝克曼和戈撒驰护脊书包里选一个，看了一下，贝克曼实际减负效果有40%，而戈撒驰有64.8%，但贝克曼好看，戈撒驰减负效果好...纠结得头都要秃了，想一步到位，有没有真实用过的宝妈分享下经验，评论区等答案！！！#护脊书包[话题]# #真实评价[话题]# #性价比[话题]# #戈撒驰书包[话题]# #宝妈求助[话题]# #Gotyasatch护脊书包[话题]#</t>
  </si>
  <si>
    <t>元气兄弟冲冲冲</t>
  </si>
  <si>
    <t>573701b55e87e751134d5118</t>
  </si>
  <si>
    <t>广西</t>
  </si>
  <si>
    <t>2025-07-23 08:19:26</t>
  </si>
  <si>
    <t>https://www.xiaohongshu.com/user/profile/573701b55e87e751134d5118?&amp;xsec_source=pc_note</t>
  </si>
  <si>
    <t>https://www.xiaohongshu.com/discovery/item/688044c4000000002400aa45?app_platform=android&amp;ignoreEngage=true&amp;app_version=8.47.0&amp;share_from_user_hidden=true&amp;xsec_source=app_share&amp;type=normal&amp;xsec_token=CBVPyoiYuODusAoczjBSjhPOApJzV5RwMRUMWyxTgc7zM=&amp;author_share=1</t>
  </si>
  <si>
    <t>护脊书包,真实评价,性价比,戈撒驰书包,宝妈求助,Gotyasatch护脊书包</t>
  </si>
  <si>
    <t>686207780000000012017b62</t>
  </si>
  <si>
    <t>小学生护脊训练要注意什么｜护脊书包&amp;心得</t>
  </si>
  <si>
    <t>一直都有提醒孩子作业要端正坐姿，但四年级学校脊柱侧弯筛查依然：右肩高和肩胛骨有点高低不平。四年级真是不太平的一年，近视，脊柱疑似侧弯。作为曾在母婴行业摸爬滚打数年及常年翻看育儿书的妈妈，隐隐还是焦虑了。好在这段时间我们坚持做力量训练，单杠、俯卧撑、跑步锻炼，慢慢矫正过来一些了。脊柱侧弯不是小问题，平时一定要做好护脊工作，分享几个护脊方法：1️⃣姿势禁忌✖️歪扭坐。写作业时长期外向一侧，比如托腮，斜趴，这样单侧椎体压力增加，容易加重旋转侧弯✔️改用坐姿矫正椅或使用腰部支撑垫，另坐姿和座椅要调整合适（详见图3）✖️瘫软躺。窝在沙发里刷手机，蜷缩成C型看电视，加剧椎体形变风险✔️改用靠墙或沙发直立坐，保持耳肩髋垂直2️⃣负重禁忌✖️背软榻、后坠、无护脊设计的书包，必须往前倾才能走路保持平衡，容易弯腰驼背✔️换成护脊书包，挑选重点看这三点：·背部需有支撑系统·必须包含「三点式固定」（胸扣、腰扣、肩带）·收纳分区，避免书本散落导致重心偏移护脊书包自用分享：我们目前背的是戈撒驰护脊书包，这个书包可以根据身高进行定制，可以说是“高”定包身高在140cm-180cm可以随意调节。书包内置了U型铝制支撑杆，符合人体工学设计，贴合孩子背部，防止书包挤压脊柱。调到合适的刻度，正确背负后将肩部重量分散至腰背部，走路轻便的，不再弯腰驼背！30L大容量，合理分层，收纳方便，作业、书本、水杯、雨伞都有相应的放置区域。Y字形蜂窝网面和背垫中空凹槽设计，清爽不闷汗，像深圳的天气比较潮热，孩子背着也挺舒服的。环保面料+防水设计，耐用又抗造。包身还有反光条设计，过马路夜间出行很安全！他们家同款的笔盒我也买了，容量也非常大。Ps：买书包最好带娃试背一下，装3-5本书让他走两圈，观察是否驼背、耸肩。最后，脊柱这事没有后悔药，还是要尽早干预。#Gotyasatch护脊书包[话题]# #戈撒驰护脊书包[话题]# #gotyasatch书包[话题]# #戈撒驰书包[话题]# #德国戈撒驰书包[话题]# #小学生书包[话题]# #护脊书包[话题]# #护脊书包分享[话题]# #初中生书包[话题]# #大容量书包[话题]# #高颜值书包[话题]# #书包分享[话题]# #育儿[话题]#</t>
  </si>
  <si>
    <t>妞宝妈妈</t>
  </si>
  <si>
    <t>5b6faba97979810001d49e26</t>
  </si>
  <si>
    <t>2025-06-30 05:45:36</t>
  </si>
  <si>
    <t>https://www.xiaohongshu.com/user/profile/5b6faba97979810001d49e26?&amp;xsec_source=pc_note</t>
  </si>
  <si>
    <t>https://www.xiaohongshu.com/discovery/item/686207780000000012017b62?app_platform=android&amp;ignoreEngage=true&amp;app_version=8.47.0&amp;share_from_user_hidden=true&amp;xsec_source=app_share&amp;type=normal&amp;xsec_token=CBepcPxEIB7gbBLY5im--WcDZ8v8xYN3ZlFHvazRbJlq4=&amp;author_share=1</t>
  </si>
  <si>
    <t>Gotyasatch护脊书包,戈撒驰护脊书包,gotyasatch书包,戈撒驰书包,德国戈撒驰书包,小学生书包,护脊书包,护脊书包分享,初中生书包,大容量书包,高颜值书包,书包分享,育儿</t>
  </si>
  <si>
    <t>68887fba000000000403e00e</t>
  </si>
  <si>
    <t>两款护脊书包实测！减负护脊+身高定制</t>
  </si>
  <si>
    <t>自从儿子参加走秀后，我对他的体态越发关注。而且他马上要上五年级了，学业加重，书包也越来越沉，所以我想给他找一款真正能减压、能帮助维持好体态，且能长期使用的护脊书包。锁定到戈撒驰和GMT，猜猜选了哪一款❓身高定制挑书包时，我很关注能不能贴合身形——孩子长得快，今年合适的书包明年可能就不合身了。戈撒驰可根据身高定制 ：140-180cm身高随意调节，不愧是“高”定包，孩子长个，书包也能跟着“长”，能很好地贴合脊柱曲线，帮着培养好体态，而且等上了初中，也能当初中生书包用~护脊减负•戈撒驰：U型铝制支撑杆+背板，不仅能更好地贴合孩子脊柱曲线，还能吸收来自书包的撞击力；再加上四点承托设计，让肩部、胸部、腰部形成多点受力，把肩部重量分散到腰背部，专业检测减负效果达64.8%，儿子背上后舒服又减压，身姿都挺拔不少~•GMT：S型铝条+EVA背板，能为背部提供支撑，但我没找到具体的减负数据。科学分区收纳两款书包都是30L的，不过在细节上不同：•戈撒驰：两个隔层+多功能收纳仓+侧兜，分区清晰，无论是课本、配套大容量笔袋、水杯，还是钥匙、校园卡都能轻松收纳，找东西时一目了然，当初中生书包用也很合适。•GMT：双隔层设计+前袋，分区比较简单，日常使用也够用。细节•反光条设计：两款包身都有360°反光条，但戈撒驰面积稍大一些，夜里很显眼，儿子说亮起来像蜘蛛侠哈哈~简单来说，如果想从小学用到初中，追求身高定制和多功能性，戈撒驰是很合适的选择。#Gotyasatch护脊书包[话题]# #戈撒驰护脊书包[话题]# #gotyasatch书包[话题]# #戈撒驰书包[话题]# #德国戈撒驰书包[话题]# #小学生书包[话题]# #护脊书包[话题]# #戈撒驰高定护脊书包[话题]# #大容量书包[话题]# #护脊书包分享[话题]# #初中生书包[话题]# #高颜值书包[话题]# #书包分享[话题]# #戈撒驰身高定制书包[话题]#</t>
  </si>
  <si>
    <t>Gordon加油呀</t>
  </si>
  <si>
    <t>57844d613460944b23bbb350</t>
  </si>
  <si>
    <t>江苏</t>
  </si>
  <si>
    <t>2025-07-29 09:48:49</t>
  </si>
  <si>
    <t>https://www.xiaohongshu.com/user/profile/57844d613460944b23bbb350?&amp;xsec_source=pc_note</t>
  </si>
  <si>
    <t>https://www.xiaohongshu.com/discovery/item/68887fba000000000403e00e?app_platform=android&amp;ignoreEngage=true&amp;app_version=8.47.0&amp;share_from_user_hidden=true&amp;xsec_source=app_share&amp;type=normal&amp;xsec_token=CBtaPkwJ0ri0aNzuGoBEzszNj-lXpKNeZChWWcUamTztI=&amp;author_share=1</t>
  </si>
  <si>
    <t>Gotyasatch护脊书包,戈撒驰护脊书包,gotyasatch书包,戈撒驰书包,德国戈撒驰书包,小学生书包,护脊书包,戈撒驰高定护脊书包,大容量书包,护脊书包分享,初中生书包,高颜值书包,书包分享,戈撒驰身高定制书包</t>
  </si>
  <si>
    <t>685ff26e000000002201f348</t>
  </si>
  <si>
    <t>小升初|背上护脊书包，学习健康两抓手！</t>
  </si>
  <si>
    <r>
      <rPr>
        <sz val="11"/>
        <color theme="1"/>
        <rFont val="微软雅黑"/>
        <charset val="134"/>
      </rPr>
      <t>当家长的谁不盼着孩子学习一路提升？为了帮娃提高成绩，我可没少下功夫！像把学习大目标拆成每天的小任务，孩子做完有成就感；用思维导图把知识点串起来，复习时一目了然；整理错题本定期复盘，薄弱点各个击破；再搭配“番茄钟”学习法，学25分钟歇5分钟，培养孩子时间观念；平时还和孩子玩知识问答，边玩边巩固知识。这些方法确实管用，但后来我才发现，想让孩子专注学习，一个舒服的书包太重要了！我家孩子小升初课业量直线上升，每天看着她背着沉甸甸的书包，弯着小身板进出家门，当妈的心里直泛酸。直到我才知道，书包没选对，不仅让孩子肩膀酸痛，连学习状态都会受影响——背着硌得慌的书包，哪还有心思认真听课写作业呀？为了给孩子挑个靠谱的初中生书包，我做了超多功课，最后才入手了戈撒驰护脊书包！</t>
    </r>
    <r>
      <rPr>
        <sz val="11"/>
        <color theme="1"/>
        <rFont val="Segoe UI Emoji"/>
        <charset val="134"/>
      </rPr>
      <t>✅</t>
    </r>
    <r>
      <rPr>
        <sz val="11"/>
        <color theme="1"/>
        <rFont val="微软雅黑"/>
        <charset val="134"/>
      </rPr>
      <t>小升初家长最头疼的就是孩子长得快，书包总换新。戈撒驰这款护脊书包「会跟着长个儿」，后背隐藏的身高刻度能从140cm调到180cm，根据孩子身高自由定制，叫它“高”定包不过分吧从初一背到高中都不用换。</t>
    </r>
    <r>
      <rPr>
        <sz val="11"/>
        <color theme="1"/>
        <rFont val="Segoe UI Emoji"/>
        <charset val="134"/>
      </rPr>
      <t>✅</t>
    </r>
    <r>
      <rPr>
        <sz val="11"/>
        <color theme="1"/>
        <rFont val="微软雅黑"/>
        <charset val="134"/>
      </rPr>
      <t>它的护脊设计绝了！U型铝制支架搭配立体背板，就像给脊柱装了「隐形支撑」，装满书也不会下坠塌腰。加上四点支撑设计能把重量稳稳“分摊”到肩膀、腰部、底部这些地方。只要正确背负，专业实测64.8%的减负效果，10斤书包背出3斤轻感，孩子跑跳时书包稳稳贴背不晃悠，真正做到了把压力“卸”到该去的地方！</t>
    </r>
    <r>
      <rPr>
        <sz val="11"/>
        <color theme="1"/>
        <rFont val="Segoe UI Emoji"/>
        <charset val="134"/>
      </rPr>
      <t>✅</t>
    </r>
    <r>
      <rPr>
        <sz val="11"/>
        <color theme="1"/>
        <rFont val="微软雅黑"/>
        <charset val="134"/>
      </rPr>
      <t>细节设计也很贴心：35L大容量，分区合理，课本、作业、笔盒(空间大，有多层可以收纳)轻松装下，侧兜拿雨伞、水杯也超方便~孩子初中要带的东西多，书包全都能装下；PET防水面料很抗造，不怕雨淋，久用如新；3D蜂窝背垫超透气，夏天背也不闷汗；蝴蝶型宽肩带柔软厚实，孩子再也没喊过肩膀疼。今天带孩子参加初中新生活动，它派上大用场了。真心建议家长别只盯着孩子成绩，书包里装的不仅是书本，更是孩子的健康！选对书包才是给孩子的成长上了把 “安全锁”#Gotyasatch护脊书包[话题]# #戈撒驰护脊书包[话题]# #gotyasatch书包[话题]# #戈撒驰书包[话题]# #德国戈撒驰书包[话题]# #小学生书包[话题]# #护脊书包[话题]# #大容量书包[话题]##护脊书包分享[话题]##初中生书包[话题]##高颜值书包[话题]##书包分享[话题]# #小升初[话题]# #开学装备[话题]#</t>
    </r>
  </si>
  <si>
    <t>乔治是妹妹</t>
  </si>
  <si>
    <t>62ee531500000000150190a6</t>
  </si>
  <si>
    <t>2025-06-28 15:07:01</t>
  </si>
  <si>
    <t>https://www.xiaohongshu.com/user/profile/62ee531500000000150190a6?&amp;xsec_source=pc_note</t>
  </si>
  <si>
    <t>https://www.xiaohongshu.com/discovery/item/685ff26e000000002201f348?app_platform=android&amp;ignoreEngage=true&amp;app_version=8.47.0&amp;share_from_user_hidden=true&amp;xsec_source=app_share&amp;type=video&amp;xsec_token=CByVGjdCyJUAQ0ap4ht4LQEQ1ahufgr6iyaCCyeK6z-4Y=&amp;author_share=1</t>
  </si>
  <si>
    <t>Gotyasatch护脊书包,戈撒驰护脊书包,gotyasatch书包,戈撒驰书包,德国戈撒驰书包,小学生书包,护脊书包,大容量书包,护脊书包分享,初中生书包,高颜值书包,书包分享,小升初,开学装备</t>
  </si>
  <si>
    <t>686205f70000000022033695</t>
  </si>
  <si>
    <t>买晚了后悔才知道护脊书包能爆改体态</t>
  </si>
  <si>
    <t>现在小学生的负担真的好重啊每天书包都沉甸甸的，整个人被压得弯腰驼背之前我还以为书包都大差不差，就随便选了个图案好看的结果孩子每天都说书包重肩膀痛用了一阵子之后，甚至体态都变差了️我赶紧做了功课，了解到原来孩子的脊柱正处于成长发育阶段普通书包没有护脊功能，长期背负还会导致脊柱侧弯等到那时后悔可就来不及了！对比了市面上的护脊书包品牌，我最终入手了了德国品牌戈撒驰看到很多家长给孩子选的初中生书包也是这款果然用过后我也懂了科学+专业的魅力！-它内置的U型铝制支撑杆，是高级登山包才有的设计符合人体工学，更贴合孩子的背部曲线有效吸收书包内部的压力和撞击力背起来书包不往下坠，孩子的脊椎就不会被拉扯到啦！后背隐藏了身高刻度，从140-180cm可以根据身高定制妥妥的“高”定包毕竟孩子长得快，这下不用频繁给他换书包了我们家老人有次去接孩子的时候，孩子非得秀一把把身高刻度调到爷爷能背的位置后，爷爷背上身到家坐下才想起还背着包呢说是太轻了没什么感觉就忘记了，咱小时候可没见过这好东西-调到适合高度后，背上书包扣上肩扣、腰扣、胸扣一整套正确背负流程完成，我家孩子的体态明显跟以往不一样他也很惊讶：“妈妈，这个书包背起来好轻松”以前的书包肩带又窄又细重量全压在肩膀上，难受不说，身子只能一直往前倾现在这款护脊书包可以压力分散给腰臀背部，整体自然就轻了而且肩带加厚加宽，背垫是高弹的3D 眼蜂窝网面+中空凹槽设计不仅不勒肩膀、舒适好背，夏天久背也清爽不闷汗-容量更是没得说，足足35L超能装！2 个主隔层加1个容量扩展袋日常的书本、作业、笔袋、饭盒都能放侧边装水杯、雨伞、钥匙等，分层合理，收纳便捷我还入了他家配套笔盒，超大容量，各种笔、修正带、胶带啥的都能装PET环保面料，扎实但是不硬邦邦，手感很好！-来自育婴师的总结！护脊书包真不是智商税除了学业成绩外，身体发育也需要我们关注！#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t>
  </si>
  <si>
    <t>希希bb</t>
  </si>
  <si>
    <t>5c03e36d0000000008010ddc</t>
  </si>
  <si>
    <t>江西</t>
  </si>
  <si>
    <t>2025-06-30 06:39:08</t>
  </si>
  <si>
    <t>https://www.xiaohongshu.com/user/profile/5c03e36d0000000008010ddc?&amp;xsec_source=pc_note</t>
  </si>
  <si>
    <t>https://www.xiaohongshu.com/discovery/item/686205f70000000022033695?app_platform=android&amp;ignoreEngage=true&amp;app_version=8.47.0&amp;share_from_user_hidden=true&amp;xsec_source=app_share&amp;type=normal&amp;xsec_token=CBepcPxEIB7gbBLY5im--WcH9goP1Q85U347_A4Af3194=&amp;author_share=1</t>
  </si>
  <si>
    <t>6874b616000000001d00d4bb</t>
  </si>
  <si>
    <t>小高年级护脊书包怎么选？成长适配很重要～</t>
  </si>
  <si>
    <t>乐宝六年级了，书包沉得像背砖头，怕影响体态我赶紧做功课，发现很多家长纠结“书包本身轻不轻”，其实本身重量不是关键，搞懂护脊和减负原理才能理性选择。把热门的两款护脊书包都买回来试试，真实体验分享给你们！身高调节◽️戈撒驰：后背内侧隐藏有身高刻度，这点真的很戳我，140-180cm可调。根据身高调好后书包刚好贴在腰上，跑着追同学书包都不晃◽️GMT：尺寸固定，适合150-180cm护脊+减负设计◽️戈撒驰：U型铝制支撑杆+背板，符合人体工学，像有手托着，很轻松就挺直了背。采用“分压式”实现有效减负，加宽加厚肩带、高弹背垫、加厚腰垫，将集中在肩部的压力分散到腰背部，十斤的书包背出三斤实感，专业数据显示减负能达64.8%！◽️GMT：S型护脊铝条+EVA压模背板，支撑性不错。乐宝说背起来也比旧书包轻容量空间◽️戈撒驰：35L扩容大容量。我特意数了下分区：主隔层装书本作业，副隔层放练习册，多隔层里的小格子刚好塞笔袋、修正带、公交卡，还有多功能前袋——乐宝的羽毛球拍也能塞进去，侧面网兜能放跳绳，物品合理收纳，翻包不乱，所以他们很能装的笔盒我也买回来了◽️GMT：30L容量，分层比较简单：主隔层+前隔层，前面两个小拉链袋可以放文具，但我试了下大件物品不太容易放进去面料/细节两款都是环保面料，戈撒驰包身的反光条面积个人认为大，夜晚出行很安全，侧边袋用了防盗的锁扣和拉链设计，以防丢失东西，手提带也厚实，拎起来不勒手，可以说细节满满了。综合体验两款都是IGR认证的护脊书包，但戈撒驰按身高自由调节这点很打动我，不像衣服一样“穿半年就小”，当初中生书包都没问题，加上实用性比较强，最后和孩子一致选了戈撒驰这款。#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</si>
  <si>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乐妈</t>
  </si>
  <si>
    <t>5b27d5ebf7e8b932b7fc8145</t>
  </si>
  <si>
    <t>2025-07-14 08:47:44</t>
  </si>
  <si>
    <t>https://www.xiaohongshu.com/user/profile/5b27d5ebf7e8b932b7fc8145?&amp;xsec_source=pc_note</t>
  </si>
  <si>
    <t>https://www.xiaohongshu.com/discovery/item/6874b616000000001d00d4bb?app_platform=android&amp;ignoreEngage=true&amp;app_version=8.47.0&amp;share_from_user_hidden=true&amp;xsec_source=app_share&amp;type=normal&amp;xsec_token=CBqEcsQbAMDcIK66kbNAcTgRo1wYYfUyrFvO-DGXUHD5o=&amp;author_share=1</t>
  </si>
  <si>
    <t>6888790800000000250241aa</t>
  </si>
  <si>
    <t>四年级预备役✨两款热门护脊书包选谁</t>
  </si>
  <si>
    <t>在天津教育重点区陪读三年，我算悟了：小学生的脊柱，得从小护着。​以前别人说护脊书包好，我不以为然，直到看到Ruby天天背着重书包弯腰驼背走，真怕久了伤脊柱啊。赶紧做功课入了G/M/T和戈撒驰，真实经验分享给你们～✅首先是身高定制：戈撒驰的书包内侧有身高刻度尺，140~180cm身高都能调~是名副其实的“高”定包，不用担心之后长高了背不了，而且书包的面料摸着很扎实，了解了一下是比较抗造的，用到初中当初中生书包都可以。G/M/T 150-180cm通用✅然后是减负：戈撒驰用了专业登山包同款的U型铝制支撑杆，搭配3D透气背板，能稳稳包裹住背部。再加上加厚肩带、可调节胸扣、腰扣和加厚腰垫，把原来压在肩膀的重量分散到腰上和背上，经专业测试显示减压效果达64.8%，Ruby也说现在背着书包感觉可轻松了~G/M/T是S型铝条+ EVA压膜背板，支撑性也不错✅在容量上，两款都是30L，不过收纳有区别：戈撒驰：分层合理且实用，2个主隔层+1个多功能收纳仓+侧兜。Ruby带的东西多的时候，主隔层放美术、科学课的大件用具，副隔层放课本作业本；多功能仓里放发圈、校园卡口罩啥的收纳得很好；侧兜放水杯，拿取方便。G/M/T：一个大的主仓+副隔层+前袋+侧兜，日常也够用了。综合下来，我们选了戈撒驰：身高定制、科学减压、收纳合理，既不用年年换书包，又能护着孩子的脊柱。换包后，看着Ruby从含胸驼背到抬头挺胸，感觉真的选对了～#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</si>
  <si>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哏都Ruby妈妈</t>
  </si>
  <si>
    <t>5bc9af3ebe7e3e0001207a3e</t>
  </si>
  <si>
    <t>2025-07-29 11:36:44</t>
  </si>
  <si>
    <t>https://www.xiaohongshu.com/user/profile/5bc9af3ebe7e3e0001207a3e?&amp;xsec_source=pc_note</t>
  </si>
  <si>
    <t>https://www.xiaohongshu.com/discovery/item/6888790800000000250241aa?app_platform=android&amp;ignoreEngage=true&amp;app_version=8.47.0&amp;share_from_user_hidden=true&amp;xsec_source=app_share&amp;type=normal&amp;xsec_token=CBtaPkwJ0ri0aNzuGoBEzszCMZuOmncJtKEBdBShtRpA8=&amp;author_share=1</t>
  </si>
  <si>
    <t>68836875000000002001a367</t>
  </si>
  <si>
    <t>151cm女生亲测❗热门护脊书包到底选哪款？</t>
  </si>
  <si>
    <t>家有五升六且酷爱户外活动的女娃一枚，无论是学习还是出去玩都得装一大堆东西，老母亲瞅着她弯腰驼背就焦虑，于是疯狂研究护脊书包！精挑细选了N多好评的两款：戈撒驰和贝克曼，今天刚好让娃背到户外实测下~先划重点❗ 【适配成长】很关键这个年龄段的孩子长个子比较快，书包用不了多久就因为背着有点勒而需要更换。戈撒驰是140-180cm背板根据身高自由调节，孩子长个了，自己调就行。贝克曼尺寸固定，适合140-175cm❥ 护脊≠越轻越好！减负设计对比戈撒驰【减压达64.8%】采用U型铝制支撑杆，贴合孩子背部曲线，结合3D背板，防止书包负重变形挤压脊柱，正确背负后重量通过肩带、胸带、腰带分散到腰背，娃身板挺得直直的，跑跳都不晃动~✨⚫️贝克曼【减压达40%】内置S型铝条贴合背部，背负系统也算稳❥ 产品细节对比戈撒驰：德国PET环保面料，冰川蓝+拼牛皮的外观，质感高级又养眼；30L大容量，分区细致且合理，三层大口袋，出游用的水杯、雨伞、零钱都能一一放置；隐藏式拉链，防水效果更好；手提带厚实不勒手，包身设计得有反光条，夜晚出行很安全。正面还有可替换的标记带，挂孩子心仪的卡通挂饰、徽章，配套的大容量笔袋也是美观又实用✨⚫️贝克曼：聚酯纤维面料，分区有两个大的主口袋，前兜收纳小物件。两款护脊书包各有各的好，但戈撒驰随身高定制和科学减负这两点太对老母亲的胃口了。毕竟娃长得快，能跟着调节才不浪费，小升初就可以直接当初中生书包用啦[赞R]#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</si>
  <si>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李小慢Ella</t>
  </si>
  <si>
    <t>5bfcfda38086b80001c79466</t>
  </si>
  <si>
    <t>2025-07-26 09:55:49</t>
  </si>
  <si>
    <t>https://www.xiaohongshu.com/user/profile/5bfcfda38086b80001c79466?&amp;xsec_source=pc_note</t>
  </si>
  <si>
    <t>https://www.xiaohongshu.com/discovery/item/68836875000000002001a367?app_platform=android&amp;ignoreEngage=true&amp;app_version=8.47.0&amp;share_from_user_hidden=true&amp;xsec_source=app_share&amp;type=normal&amp;xsec_token=CBuSUtunJk9YTYeP1cz6p25tlEBbu8yerxTpiQ994jaXI=&amp;author_share=1</t>
  </si>
  <si>
    <t>6882b44a0000000011002c65</t>
  </si>
  <si>
    <t>初中生书包怎么选 | 看完再买也不迟❗</t>
  </si>
  <si>
    <t>我家孩子小升初想要一个新书包，小小愿望我当然要满足，每次给孩子选书包我都特纠结，他现在是成长关键期，学业压力又重！书包选不对，可能直接影响孩子脊椎发育，导致驼背、脊柱侧弯等！所以这次买初中生书包我做了全面功课，一次性给娃安排两个护脊书包！首先是隐藏的小细节，戈撒驰内侧有个身高刻度尺，可以按照身高调节到140-180cm的任何尺寸，书包不用一年一换这个点真的很戳我，能根据身高定制的 “高”定包，既省钱又省事~其次是护脊设计，戈撒驰的U型铝制支撑杆刚好贴合人体脊柱自然曲线，孩子背上身，腰背能自然挺起来，不用我再盯着纠正姿势。壳曼的仿生 S 型支架也不错，支撑力均匀，贴合度在线。减负设计上，戈撒驰减负原理是通过肩部+胸部+腰部多点承托让重量分散，娃说书包好像会“变魔术”，背上身真的感觉变轻了！容量也要关注，两款书包都是35L。戈撒驰30+5L的扩容设计，应用起来很灵活，对于东西多的孩子：书本、课外书、小零食、水杯、雨伞等，分层收纳很重要，它还有个前袋，打开能放下足球、衣服、网球拍等。同款大容量笔盒我也买了，很实用。透气和材质都没话说，网面设计不闷汗，戈撒驰的PET环保面料和贝克曼的聚酯纤维都防泼水，弄脏了擦一擦就好。两款护脊书包各有特点，功能方面都不错，选择权交给孩子了，他喜欢戈撒驰，大容量，背着舒服，按身高调节这个点咱当家长的更无法拒绝，直接给安排上！#Gotyasatch护脊书包[话题]# #戈撒驰护脊书包[话题]# #gotyasatch书包[话题]# #戈撒驰高定护脊书包[话题]# #戈撒驰身高定制书包[话题]##戈撒驰书包[话题]# #德国戈撒驰书包[话题]# #小学生书包[话题]# #护脊书包[话题]# #大容量书包[话题]# #护脊书包分享[话题]# #初中生书包[话题]# #高颜值书包[话题]# #书包分享[话题]#</t>
  </si>
  <si>
    <t>一只金奶油</t>
  </si>
  <si>
    <t>5d8d089f0000000001008901</t>
  </si>
  <si>
    <t>山西</t>
  </si>
  <si>
    <t>2025-07-28 05:44:56</t>
  </si>
  <si>
    <t>https://www.xiaohongshu.com/user/profile/5d8d089f0000000001008901?&amp;xsec_source=pc_note</t>
  </si>
  <si>
    <t>https://www.xiaohongshu.com/discovery/item/6882b44a0000000011002c65?app_platform=android&amp;ignoreEngage=true&amp;app_version=8.47.0&amp;share_from_user_hidden=true&amp;xsec_source=app_share&amp;type=video&amp;xsec_token=CBINno8UndG9QBayMpJ-Jf7IM6H-gKQ-ldlsWC6rIcBwo=&amp;author_share=1</t>
  </si>
  <si>
    <t>Gotyasatch护脊书包,戈撒驰护脊书包,gotyasatch书包,戈撒驰高定护脊书包,戈撒驰身高定制书包,戈撒驰书包,德国戈撒驰书包,小学生书包,护脊书包,大容量书包,护脊书包分享,初中生书包,高颜值书包,书包分享</t>
  </si>
  <si>
    <t>689abe2a0000000023023cf8</t>
  </si>
  <si>
    <t>哥哥的初中生书包，妹妹也能背？真护脊减负</t>
  </si>
  <si>
    <t>作为职场妈妈，公司上升期的加班常态让我总被问：“这么忙，哪来时间陪孩子？”虽常与deadline赛跑‍♀️，但孩子从启蒙到兴趣班，我从未缺席。工作再忙，孩子的成长也不能错过。除了学业，我更关注他们的身心健康当我发现孩子们开始有点驼背，学校的体检结果显示脊柱侧弯、高低肩的时候，真的慌了，赶紧恶补护脊知识，除了通过运动纠正体态，考虑到哥哥今年小升初，我决定给他选个护脊书包当初中生书包。选书包时，哥哥一眼看中戈撒驰护脊书包。这个身高定制书包是身高在140-180cm之间随意调节，妥妥的“高”定包。哥哥现在162cm，对应调节后书包背上和后背很贴合。妹妹看到了也想背上试试，哥哥就按照妹妹147cm身高调整刻度，结果妹妹背上也很合适。再加上我们家的惯例，哥哥有的，妹妹也要有，所以按照妹妹喜欢的款式也给她买了一个坦白说我一开始内心是质疑孩子们自己选择的书包的，结果收到后，孩子们hin满意，背上以后身形也挺拔了，少年该有的朝气蓬勃也回来了，原来肤浅的是我，戈撒驰护脊书包是真的与众不同具体来说：首先纠正一下，不是所有号称护脊的书包都是真正科学护脊的！护脊得看整体结构设计，像戈撒驰护脊书包用的是符合人体工学的U型铝制支撑杆，它可以模拟人体脊柱自然曲线，更好地贴合孩子的背部，搭配高弹背板形成稳固支撑。其次，选护脊书包不能只看自重。轻的书包后背无支撑点，背起来松垮，书包的负重集中在肩膀，容易造成驼背‍♂️。戈撒驰护脊书包通过合理调节肩带+胸带+腰带，将重量分散到腰背部，真正实现减负护脊。35L扩容设计超实用：妹妹日常用30L足够，哥哥升初中后拉开扩容拉链，35L容量轻松应对增多的课业。主副隔层装书本作业，侧边袋放水杯雨伞，前袋能塞外套、足球，细节满分。他们家笔盒的容量也很大，所以也给兄妹俩一人准备了一个~ 环保面料耐磨防水，小剐蹭根本不怕，目测能用好几年，直接实现长期主义。育儿从尊重孩子的选择开始，尤其是每天都要用到的书包，他们的亲身使用感受是最重要✌️#Gotyasatch护脊书包[话题]##戈撒驰护脊书包[话题]##gotyasatch书包[话题]##戈撒驰书包[话题]##德国戈撒驰书包[话题]##护脊书包[话题]##大容量书包[话题]##初中生书包[话题]##戈撒驰高定护脊书包[话题]##戈撒驰身高定制书包[话题]#</t>
  </si>
  <si>
    <t>小钟懿和她的哥哥</t>
  </si>
  <si>
    <t>624a82340000000021027c9f</t>
  </si>
  <si>
    <t>2025-08-13 08:12:27</t>
  </si>
  <si>
    <t>https://www.xiaohongshu.com/user/profile/624a82340000000021027c9f?&amp;xsec_source=pc_note</t>
  </si>
  <si>
    <t>https://www.xiaohongshu.com/discovery/item/689abe2a0000000023023cf8?app_platform=android&amp;ignoreEngage=true&amp;app_version=8.47.0&amp;share_from_user_hidden=true&amp;xsec_source=app_share&amp;type=normal&amp;xsec_token=CB2JVBhkhZZHc4nm_UrUPu_-Xi2dUXADY4tUQqN_GY8b8=&amp;author_share=1</t>
  </si>
  <si>
    <t>687b3076000000000d01bc26</t>
  </si>
  <si>
    <t>初中生书包怎么选？两款热门款选哪个？</t>
  </si>
  <si>
    <t>姐姐上了初中以后，书本越来越多，长期负重体态都不好了，所以这学期我决定给她换个护脊的初中生书包，把市面上比较火的两款护脊书包“戈撒驰”和“贝克曼”买回来做了对比，来说说我的感受吧！戈撒驰这款书包真的是“黑科技”满满！后背内侧隐藏了身高刻度，140-180cm可调，可以说是身高定制书包，也就是无论哪个年龄阶段都能精准适配的“高”定包。内置的U型铝制支撑杆，是高级登山包才有的设计️，不仅支撑力强，还能有效防止书包挤压脊柱。按照正确步骤背好后，通过肩带、背垫、腰垫分散书包压力，实现有效减负，效果可达64.8%！孩子背起来更轻松，腰背不自觉地就挺直了。容量是30+5L扩容款，主隔层塞12本课本+2本词典还有空隙，副隔层放练习册、作业本，有个前袋拉开能放足球、羽毛球拍这些比较大件的体育用品！很实用！侧兜弹力网面装运动水壶不掉，另一边放公交卡不怕丢。配套的笔袋我也买回来了，质量很好还很能装。贝克曼这款主打S型护脊铝支架，藏在背部，贴合脊椎曲线，背起来很稳，不会压到背。胸前调节扣灵活，拉紧后晃动减少，不过没有身高调节，它的减压效果是40%，姐姐试了下，同样的书本背起来虽然比普通书包轻，这款也是35L的大容量，有书本、文具、卡片的收纳区，不过孩子外出运动比如打羽毛球，就得单独用其他袋子装拍子了。笔袋的容量比较小，收纳空间有限。总结一下：两款都有护脊认证，戈撒驰的调节功能太适合青春期孩子，从初中用到高中没问题，35L 大容量+精准分区实用性拉满。贝克曼适合身高稳定的孩子，而且两个护脊书包都采用了环保面料，扎实耐用。最后姐姐还是选了戈撒驰，现在背书包都是挺直腰板，老母亲终于放心了！#Gotyasatch护脊书包[话题]#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</si>
  <si>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涵涵妈咪nemo</t>
  </si>
  <si>
    <t>667a89a10000000007006f3b</t>
  </si>
  <si>
    <t>2025-07-19 12:27:12</t>
  </si>
  <si>
    <t>https://www.xiaohongshu.com/user/profile/667a89a10000000007006f3b?&amp;xsec_source=pc_note</t>
  </si>
  <si>
    <t>https://www.xiaohongshu.com/discovery/item/687b3076000000000d01bc26?app_platform=android&amp;ignoreEngage=true&amp;app_version=8.47.0&amp;share_from_user_hidden=true&amp;xsec_source=app_share&amp;type=normal&amp;xsec_token=CBkhdRutn_6fgPa56eN7U1lSgNKnzPftHGnCtDVwGm5jI=&amp;author_share=1</t>
  </si>
  <si>
    <t>68959f780000000023018db4</t>
  </si>
  <si>
    <t>求推荐一包通用的万能初中生书包!</t>
  </si>
  <si>
    <t>家有初中生，愁坏了，新学期换书包，要求略多1️⃣护脊：已经有点驼背了，担心越来越严重2️⃣大容量：周末补课+拳击课，除了课本，还得装手套和换洗衣服3️⃣适合户外：短途研学或露营，装要用的东西，还得耐磨耐脏、防雨来回换包太麻烦，想要个万能包，看中了戈撒驰书包，有没有用过的姐妹评论区分享下？﻿#初中生书包[话题]#﻿  ﻿#多功能书包[话题]#﻿ ﻿#实用[话题]#﻿ ﻿#求推荐[话题]#﻿ ﻿#Gotyasatch护脊书包[话题]#﻿ ﻿#户外包[话题]#﻿</t>
  </si>
  <si>
    <t>尓尓子</t>
  </si>
  <si>
    <t>67f8d175000000000d0080aa</t>
  </si>
  <si>
    <t>山东</t>
  </si>
  <si>
    <t>2025-08-08 07:16:47</t>
  </si>
  <si>
    <t>https://www.xiaohongshu.com/user/profile/67f8d175000000000d0080aa?&amp;xsec_source=pc_note</t>
  </si>
  <si>
    <t>https://www.xiaohongshu.com/discovery/item/68959f780000000023018db4?app_platform=android&amp;ignoreEngage=true&amp;app_version=8.47.0&amp;share_from_user_hidden=true&amp;xsec_source=app_share&amp;type=normal&amp;xsec_token=CBnjRxmTkdR3m3KskfN9ZuNfgnvWHCp6SrDnHgqUBEmBs=&amp;author_share=1</t>
  </si>
  <si>
    <t>初中生书包,多功能书包,实用,求推荐,Gotyasatch护脊书包,户外包</t>
  </si>
  <si>
    <t>687b25e9000000001100247a</t>
  </si>
  <si>
    <t>成长减负黑科技，选这个护脊书包稳了</t>
  </si>
  <si>
    <t>-家有男孩的妈妈们都懂，小男孩好多站没站相坐没坐相，天天念叨 “别驼背”，结果上下学背着书包走路时、做作业时一点不注意，叮嘱就像耳旁风。而且下半年进入新一学期，课程任务越来越重，书包越来越沉，有时候孩子不想“负重前行“都不行。为了翔子的脊柱健康，我觉得给他换个护脊书包，踩过无数坑之后终于选到了能减负的戈撒驰护脊书包，选购经验分享给大家选护脊书包，这三个关键点一定要盯紧：-能适配成长的调节设计一年就变小？成长期的娃更需要它✅内侧隐藏着身高刻度尺，轻轻一推就能在140-180cm区间内根据孩子身高自由调节，翔子都是自己调节的，连他都夸这个设计太牛了，说自己也是背上“高”定包了，毕竟可以根据身高进行定制，当初中生书包用也没问题，现在还怪我没早点给他买-背部结构必须硬核轻≠护脊，支撑力才是关键✅内置得有U型铝制支撑杆，贴合孩子背部曲线，结合背板给脊柱提供稳稳支撑力，加上可调节胸扣、肩扣和腰带，正确背负后能把重量从肩膀分散到腰背，走路不晃，不再驼背，久背也不累。-合理分区，收纳更科学拿取东西不再像开盲盒✅ 35L扩容大容量，大隔层、副隔层、侧袋分工明确，课本、学习机、词典笔、水杯、雨伞各就各位，翔子现在收拾书包比我还利索。还有个前袋，拉开能放足球，我还没遇到过这么实用的设计，完全解放双手，他家配套大容量笔盒也买了，跟书包很搭。除此之外，书包包身360度的反光条设计，晚上校门口接娃时老远就能看见，安全感拉满。PET环保面料耐磨耐刮蹭，太适合男孩子，抗造！之前给翔子买过很多书包，唯独这款深得他心，他背得舒服，咱们家长也能安心，希望这篇笔记能帮到正在挑选护脊书包的宝妈们~#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</si>
  <si>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翔子乖乖呀</t>
  </si>
  <si>
    <t>5c3ce0590000000007009484</t>
  </si>
  <si>
    <t>2025-07-19 12:28:30</t>
  </si>
  <si>
    <t>https://www.xiaohongshu.com/user/profile/5c3ce0590000000007009484?&amp;xsec_source=pc_note</t>
  </si>
  <si>
    <t>https://www.xiaohongshu.com/discovery/item/687b25e9000000001100247a?app_platform=android&amp;ignoreEngage=true&amp;app_version=8.47.0&amp;share_from_user_hidden=true&amp;xsec_source=app_share&amp;type=normal&amp;xsec_token=CBkhdRutn_6fgPa56eN7U1laRCZTIt113lCQ2Y59O3nIU=&amp;author_share=1</t>
  </si>
  <si>
    <t>68785dc00000000024008712</t>
  </si>
  <si>
    <t>左滑帮我选初中生书包</t>
  </si>
  <si>
    <t>女娃，开学初二，走读，平时也要背书包补课的，使用频率高，看了一圈还是打算买戈撒驰，纠结买哪个系列，大伙帮忙给点意见呗#初中生书包[话题]# #护脊书包[话题]# #Gotyasatch护脊书包[话题]#</t>
  </si>
  <si>
    <t>我是你的小可爱</t>
  </si>
  <si>
    <t>6432a50c000000000e01f9cf</t>
  </si>
  <si>
    <t>2025-07-17 03:39:37</t>
  </si>
  <si>
    <t>https://www.xiaohongshu.com/user/profile/6432a50c000000000e01f9cf?&amp;xsec_source=pc_note</t>
  </si>
  <si>
    <t>https://www.xiaohongshu.com/discovery/item/68785dc00000000024008712?app_platform=android&amp;ignoreEngage=true&amp;app_version=8.47.0&amp;share_from_user_hidden=true&amp;xsec_source=app_share&amp;type=normal&amp;xsec_token=CBvjpg6Sl1El93_nyLD_oxI5Fx1cxsBKpPmMOJ58zQJos=&amp;author_share=1</t>
  </si>
  <si>
    <t>初中生书包,护脊书包,Gotyasatch护脊书包</t>
  </si>
  <si>
    <t>68955e4b000000000302517c</t>
  </si>
  <si>
    <t>能长“高”的护脊书包，彻底拯救选包困难！</t>
  </si>
  <si>
    <t>.这几年给娃挑了不少书包，也踩过不少雷：选卡通图案，孩子大了嫌幼稚；冲护脊功能买的，孩子却抱怨硌得慌……直到为了今年开学新学期选的戈撒驰护脊书包到手，才彻底结束我这选包马拉松！[鼓掌R]今天就来聊聊，它凭什么让我不再换包？⭐“高”定包，太懂家长了！选书包总纠结：买大了压个子不舒服，买小了用半年就淘汰。戈撒驰护脊书包的身高定制就很贴心！背面自带身高刻度尺，从140~180cm都能随意调节。我娃现在140cm，把刻度调整到140的位置，背上很合适，精准得很！以后长高了孩子自己就能调，这样书包和孩子背部一直很贴合，护脊减负的效果不会打折扣。⭐护脊减负直接拿捏！孩子之前背过普通书包，稍微多装几本书，就会不自主地含胸驼背。但戈撒驰用了U型铝制支撑杆+3D透气背板，模拟人体脊柱自然曲线，背上后不仅腰杆挺直、夏天背也很透气。加宽加厚的蝴蝶型肩带+胸扣+腰扣，不仅能分散压力，还能固定书包不晃动，孩子背起来很轻松，不愧是减负效果达到68.4%的护脊书包！⭐大容量多分层！这两年我明显感觉孩子书包的东西越装越多，所以容量也是我关注的点。像戈撒驰的这一款，35L大容量，实测超能装，当初中生书包用也没问题！课本、练习册、画笔、教具、水杯、配套大容量笔袋全都装进去，还有不少富余空间。而且分层清晰，所有东西都有自己的“小房子”，拿取都方便！有时候东西带得多，拉开主副隔层中间的扩容拉链，不愁装不下；水杯和零碎小物件就放在侧袋+多功能收纳袋中；娃偶尔会带羽毛球拍去和同学打球，拉开前袋也能直接装下~⭐细节懂学生需求！外观是德国原创设计，我娃在10多款中一眼选中了这一款，现在也是喜欢得不行~之前在户外活动时，背的东西不多，她还把腰垫给拆了，跑得更快了。面料也是很扎实的PET环保面料，耐磨防水，谁用谁知道有多香！新学期马上开学，老母亲也终于能和选包焦虑说再见了～#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</si>
  <si>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曲奇妈妈</t>
  </si>
  <si>
    <t>5657aab882718c1a885dcedf</t>
  </si>
  <si>
    <t>2025-08-08 06:20:46</t>
  </si>
  <si>
    <t>https://www.xiaohongshu.com/user/profile/5657aab882718c1a885dcedf?&amp;xsec_source=pc_note</t>
  </si>
  <si>
    <t>https://www.xiaohongshu.com/discovery/item/68955e4b000000000302517c?app_platform=android&amp;ignoreEngage=true&amp;app_version=8.47.0&amp;share_from_user_hidden=true&amp;xsec_source=app_share&amp;type=normal&amp;xsec_token=CBnjRxmTkdR3m3KskfN9ZuNejMNIC9OHVwOCNWLDUPEsI=&amp;author_share=1</t>
  </si>
  <si>
    <t>6860ae9900000000240081b8</t>
  </si>
  <si>
    <t>孩子驼背，初中生书包换护脊的有用吗？</t>
  </si>
  <si>
    <t>我家丁丁上初中后，每天放学回家都驼着背！以前阳光挺拔的小男孩，现在被沉重的书包压得没了精气神，感觉整个人没自信。听说长期背重物会导致驼背、脊柱侧弯，焦虑的我在家长群疯狂取经，跟着骨科医生学各种妙招：盯他写作业姿势、让他靠墙站、换护脊书包……全都尝试了一遍，后面发现有些办法还是挺管用的，就总结出来分享给大家啦，具体内容可以看图3哦！虽然办法不少，但这其中最关键的还是要给孩子选一款专业护脊的初中生书包！我给丁丁选的这款是戈撒驰的护脊书包，他用了半年，体态肉眼可见地不一样了！ 护脊黑科技：把书包重量 "偷" 走了！以前普通书包一背就含胸，现在这款护脊书包内置U型铝支架+立体背板，像两只手稳稳托住后背！最绝的是它的 "四点承托法"，通过正确扣上上肩扣+胸扣+腰扣把重量分散到身体多个部位，这样才是真正的减负。做功课的时候我就发现，有的护脊书包说“护脊”其实就是书包用料减轻了，但是孩子书不会变少，书装进去之后该是多重还是多重，根本达不到护脊的作用。可根据身高自由调节的“高”定包：伴随孩子一路成长​！我拿到手研究发现这个书包后背内侧隐藏着精准身高刻度，能在140cm-180cm内自由调节这个设计我真觉得很好，这相当于拥有了一个根据身高定制的书包，所以我现在都叫它“高”定包无论是小学高年级还是初中、高中，都能找到适合的背负位置，一个包装下了最青涩美好的学生生涯~ 收纳小天才：课本试卷自己 "归位"！30L大容量居然能装下15本课本+笔记本电脑！主隔层分大小两格，笔记本、A4 资料和练习册各放一边，侧边兜随手塞水杯、雨伞，还有5个小收纳袋专门放饭卡、耳机、钥匙、钱包、湿巾等小物件～同款笔盒也很能装，30支笔+橡皮、尺子随便放～现在娃再也不用翻书包翻到崩溃，连班主任都夸他上课拿书速度快了！现在丁丁每天上下学都是昂首挺胸、活力满满的样子，再也没有听他抱怨过书包重、肩膀疼～果然护脊书包选对了，不仅能守护孩子的脊柱健康，更能让他们的学习状态都轻松许多#Gotyasatch护脊书包[话题]##戈撒驰护脊书包[话题]##gotyasatch书包[话题]##戈撒驰书包[话题]##德国戈撒驰书包[话题]##小学生书包[话题]##护脊书包[话题]##大容量书包[话题]##护脊书包分享[话题]##初中生书包[话题]##大容量书包[话题]#</t>
  </si>
  <si>
    <t>丁丁成长足迹</t>
  </si>
  <si>
    <t>5ab719fde8ac2b22a975894e</t>
  </si>
  <si>
    <t>2025-06-29 10:16:34</t>
  </si>
  <si>
    <t>https://www.xiaohongshu.com/user/profile/5ab719fde8ac2b22a975894e?&amp;xsec_source=pc_note</t>
  </si>
  <si>
    <t>https://www.xiaohongshu.com/discovery/item/6860ae9900000000240081b8?app_platform=android&amp;ignoreEngage=true&amp;app_version=8.47.0&amp;share_from_user_hidden=true&amp;xsec_source=app_share&amp;type=normal&amp;xsec_token=CBmOjP91oxG2VSIOpAFjHVVTjp0oDp7Py8tizEP7pzUbU=&amp;author_share=1</t>
  </si>
  <si>
    <t>Gotyasatch护脊书包,戈撒驰护脊书包,gotyasatch书包,戈撒驰书包,德国戈撒驰书包,小学生书包,护脊书包,大容量书包,护脊书包分享,初中生书包</t>
  </si>
  <si>
    <t>686222e50000000024008de2</t>
  </si>
  <si>
    <t>适配身高的初中生书包，成长期的娃太需要了</t>
  </si>
  <si>
    <t>以前的初中生进门VS现在的初中生进门，从弯腰驼背+进门喊累到腰板挺直+进门给个拥抱。哥哥小升初的时候，我总是把重点放在他的学习成绩上，一进入初中课程增多，我给他换了个轻便的大容量书包，结果用了不到半年，孩子总喊肩膀酸痛，写作业还不自觉地弯腰驼背，检查才知道是过度负重导致脊柱压力过大，再发展下去可能会脊柱侧弯… 当时真的又自责又害怕。学生负重的主要来源是装满课本的书包，以前随意挑选的初中生书包太“不靠谱”：❌ 肩带太细，勒得肩膀发红；​❌ 没有支撑结构，重量全压在肩膀和脊柱上；​❌ 书包自重轻不代表背着轻，物品增加负重感更明显…就是这些 “隐形杀手”在慢慢毁掉孩子的体态和健康，于是我赶紧做功课，给哥哥重新挑选了好背的德国戈撒驰护脊书包。 科学护脊，减负天花板！​✅根据身高可定制：孩子身高在140cm-180cm的可以任意调节，妥妥“高”定包✅内置 U型铝制支撑杆：和孩子的脊柱曲线贴合，就像后背有一双默默扶撑的双手，防止书包挤压脊柱，再结合多点受力将压力分散到腰背部，而不是简单减轻书包自重来减负。科学、正确地背负书包，经专业实测减负效果可达64.8%，背再重的课本都能昂首挺胸～​✅ 加宽加厚肩带+高弹背垫+加厚腰垫：背上能提供更好的包裹性，肩带像小枕头一样柔软，还有是蝴蝶形状设计，手臂活动自如一点也不勒，跑跳都不会滑下来～ 细节控狂喜！​✔ 大容量分区收纳：35L扩容大容量设计，主袋、侧袋、夹层多个隔层，课本、作业、笔盒、水杯、雨伞都能分类放好，再也不用翻得一团糟～​✔ 耐磨防泼水面料：德国工艺环保面料超抗造，下雨天被淋湿也不怕~✔ 3D 眼蜂窝网面和背垫中空凹槽设计：以前孩子放学后背全是汗，现在夏天背一整天都清爽不闷汗~他们家同款好用的笔盒我也买回来了，大容量随便孩子装~孩子学业压力大，初中生书包一定要选对！#Gotyasatch护脊书包[话题]##戈撒驰护脊书包[话题]##gotyasatch书包[话题]##戈撒驰书包[话题]##德国戈撒驰书包[话题]##小学生书包[话题]##护脊书包[话题]##护脊书包分享[话题]##初中生书包[话题]##大容量书包[话题]##高颜值书包[话题]##书包分享[话题]##护脊书包初中生[话题]#</t>
  </si>
  <si>
    <t>Ms董_</t>
  </si>
  <si>
    <t>56d0161d1c07df3542493212</t>
  </si>
  <si>
    <t>2025-06-30 09:42:22</t>
  </si>
  <si>
    <t>https://www.xiaohongshu.com/user/profile/56d0161d1c07df3542493212?&amp;xsec_source=pc_note</t>
  </si>
  <si>
    <t>https://www.xiaohongshu.com/discovery/item/686222e50000000024008de2?app_platform=android&amp;ignoreEngage=true&amp;app_version=8.47.0&amp;share_from_user_hidden=true&amp;xsec_source=app_share&amp;type=video&amp;xsec_token=CBepcPxEIB7gbBLY5im--WcB-Gg84_RVdIgvOVB08Tyhg=&amp;author_share=1</t>
  </si>
  <si>
    <t>Gotyasatch护脊书包,戈撒驰护脊书包,gotyasatch书包,戈撒驰书包,德国戈撒驰书包,小学生书包,护脊书包,护脊书包分享,初中生书包,大容量书包,高颜值书包,书包分享,护脊书包初中生</t>
  </si>
  <si>
    <t>68886f32000000002501d1cc</t>
  </si>
  <si>
    <t>初中生书包开箱vlog｜小孩姐又开心了</t>
  </si>
  <si>
    <t>小学生活告一段落，马上要开启新的初中生活篇章。今年小瑷长高了不少，初中又新增了几门学科，之前的书包已经不能满足了，要选一个大容量的初中生书包来迎接新生活。加上小瑷正处于青春成长期，脊柱处于发育阶段，所以护脊减负也很重要，我查了很多资料，才入手了这款德国戈撒驰的大容量减负护脊书包，娃用过后也很满意！刚好来分享下我的选购经验~我首先看中的就是戈撒驰背后的身高刻度尺，也是因为小瑷突然蹿个儿我才意识到成长期的娃书包淘汰速度有多快，而这款书包是可按身高定制的“高”定包，140-180cm的任何尺寸可调节，搞定孩子的成长需求，不用频繁换，入股不亏！其次就是护脊减负的效果是直接能看见的，内置的U型铝制支撑杆，贴合孩子背部曲线，结合背板后形成稳固的支撑力，防止书包下坠，再通过正确背负，扣好胸扣、腰扣、肩扣，多点承托，分散集中在肩部的压力，哪怕装满书，小瑷背着也很轻松，腰背直直的，比之前的小虾米体态好多了！还有它的容量，很符合中学生的要求，平时30L妥妥够用，临时加课或者期末时，拉开扩容拉链，瞬间多出5L空间，分层也合理，书本、作业、练习册还有一些课间可以玩的小玩具都能装下，还有他家配套的大容量笔盒也放大隔层，雨伞、水杯放侧兜，钥匙、耳机、纸巾这些小件也有专门收纳的地方，前袋打开还能放下球拍，直接解放双手。包身设计的有反光条，以后小瑷上晚自习我也放心多了。小瑷一直夸我眼光好~小升初是新开始，选初中生书包不仅是装书本，更是给孩子的成长加份保障呀～#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</si>
  <si>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王小个是瑷和暖的麻麻吖</t>
  </si>
  <si>
    <t>6139a5a5000000000201cc56</t>
  </si>
  <si>
    <t>2025-07-29 08:12:17</t>
  </si>
  <si>
    <t>https://www.xiaohongshu.com/user/profile/6139a5a5000000000201cc56?&amp;xsec_source=pc_note</t>
  </si>
  <si>
    <t>https://www.xiaohongshu.com/discovery/item/68886f32000000002501d1cc?app_platform=android&amp;ignoreEngage=true&amp;app_version=8.47.0&amp;share_from_user_hidden=true&amp;xsec_source=app_share&amp;type=video&amp;xsec_token=CBtaPkwJ0ri0aNzuGoBEzszNeTzjhCNNKD_7jYUjuMLSI=&amp;author_share=1</t>
  </si>
  <si>
    <t>6860b2ba000000002203f2c0</t>
  </si>
  <si>
    <t>可随身高调节的初中生书包是智商税吗？</t>
  </si>
  <si>
    <t>你家娃是不是也放假了啊？我们哥哥考完这几天可是美坏了，感觉如释重负，终于可以放松一下了。我却一点也不能松懈，马上升学了，沉浸式为他选择学校，同时也在为他准备小升初所需要的东西，这个假期很重要，可以放松但是千万不能懈怠！在我的观察中，随着年级增加，孩子的书本是越来越多。每天背好多东西，看着就沉甸甸的，作为育婴师妈妈，我是非常在意孩子的脊柱发育的，今天必须给大家唠唠青少年脊柱发育那些事儿，以及普通书包的危害（详见图2图3）一篇教会你如何选择正确的初中生书包。青少年时期是脊柱生长最快的时期之一，脊柱生长曲线逐渐形成稳定的形态，脊柱周围肌肉也在慢慢发育完善。但这个阶段，孩子的骨骼还比较柔软，没有完全成型，如果长期承受不合理的压力，就很容易出现体态问题。对比了市面上各种初中生书包后，我入手的是德国戈撒驰护脊书包，一款真正采用专业科学的设计来达到护脊减负目的的书包。它内侧隐藏得有身高刻度，买之前做功课我发现这点是其它护脊书包没有的，一拿到就被惊艳了，140-180cm自由调节，对于正在长个儿的娃来说太重要了！娃长它也能“长”，根据身高定制的书包，娃还给起了个绰号叫“高”定包初中背到高中都没问题。而且内置的U型铝制支撑杆，贴合孩子背部，防止书包压力挤压脊柱，背板像一双有力的手，稳稳地托住孩子的身体。正确背负后，书包就像长在了身上，多点承压，这种包裹式背负会更轻松，肩部不痛不酸，时间久了也没有往下坠的感觉，始终挺直腰板，跑跳不累！35L扩容大容量，2个主隔层＋1个多功能收纳仓＋1个扩容拉链设计，书本、作业、练习册、文具、水杯都能分类存放，找东西超方便 ，还能培养孩子收纳习惯，他们家配套的笔盒我也买回来了，和书包一样时尚简约的设计+高级的配色，孩子每天都乐意用。整体采用的是PET环保面料，用着更安心。千万别忽视书包的重要性，孩子每天已经在负重前行了，做家长的一定要为他们减负再减负~，这个能“陪伴“又能护脊的初中生书包，推荐给你们~#Gotyasatch护脊书包[话题]# #戈撒驰护脊书包[话题]# #gotyasatch书包[话题]# #戈撒驰书包[话题]# #德国戈撒驰书包[话题]# #小学生书包[话题]# #护脊书包[话题]# #护脊书包分享[话题]# #初中生书包[话题]# #大容量书包[话题]# #高颜值书包[话题]# #书包分享[话题]#</t>
  </si>
  <si>
    <t>是小海棠呀</t>
  </si>
  <si>
    <t>634a87c9000000001901deb2</t>
  </si>
  <si>
    <t>2025-06-29 09:17:50</t>
  </si>
  <si>
    <t>https://www.xiaohongshu.com/user/profile/634a87c9000000001901deb2?&amp;xsec_source=pc_note</t>
  </si>
  <si>
    <t>https://www.xiaohongshu.com/discovery/item/6860b2ba000000002203f2c0?app_platform=android&amp;ignoreEngage=true&amp;app_version=8.47.0&amp;share_from_user_hidden=true&amp;xsec_source=app_share&amp;type=normal&amp;xsec_token=CBmOjP91oxG2VSIOpAFjHVVY_Gu90kz9C4eeaRmwy6ajc=&amp;author_share=1</t>
  </si>
  <si>
    <t>Gotyasatch护脊书包,戈撒驰护脊书包,gotyasatch书包,戈撒驰书包,德国戈撒驰书包,小学生书包,护脊书包,护脊书包分享,初中生书包,大容量书包,高颜值书包,书包分享</t>
  </si>
  <si>
    <t>68874267000000001001265c</t>
  </si>
  <si>
    <t>4年换3个！小学高年级的护脊书包怎么挑？</t>
  </si>
  <si>
    <t>4年给娃换了3个护脊书包，这4年踩过的坑，直到遇到戈撒驰才彻底填上——原来好的护脊书包真的能跟着孩子一起 "成长"。孩子窜个头跟吹气球似的，去年买的书包今年就卡后背，肩带勒得肩膀发红。所以戈撒驰有个很让我惊艳的点，它后背藏着身高刻度，从 140到180cm都能调，根据身高定制的书包不就是“高”定包吗现在女儿 148cm，按刻度把轻轻一推就搞定，后背贴合得刚刚好，她自己都说这书包用到初三没问题。-光能调节还不够，它护脊减负也是硬道理。之前买过号称减负的书包，孩子背两天就喊腰酸，走路还是弯腰驼背的，拆开一看就一块硬纸板撑着。这款内置的是U型铝制支撑杆，配上高弹背板双重稳定结构，瞬间撑直身体，再加上肩带、胸带、腰带和底部的四点承托，真不是噱头，书包装满娃背着都说 "比以前的书包轻多了。-30L 的容量我一开始还担心太大，用了才发现分区太懂学生党了：主隔层袋放课本作业，副隔层放练习册，侧袋塞水壶，还有多功能收纳仓，多层分区把乱糟糟的文具收拾得明明白白，同款大容量笔盒我也买了，文具收纳轻轻松松。而且它底部还能折叠，放进课桌时严丝合缝。面料采用的是环保面料，书包看起来有质感不会软塌塌的，阴雨天晚上接她放学，书包上的反光条在路灯下很亮眼，一眼就看到了，防水材质还把书本作业本护得好好的。-给成长期的孩子选护脊书包，“能跟着长”是第一步，减负和实用跟上了，才真的省心。毕竟看着她背着沉甸甸的知识，却能挺直腰背轻装上阵的样子，就是我最想看到的的。#小学生书包[话题]# #护脊书包[话题]# #大容量书包[话题]# #初中生书包[话题]# #护脊书包分享[话题]# #戈撒驰护脊书包[话题]# #Gotyasatch护脊书包[话题]# #德国戈撒驰书包[话题]# #戈撒驰高定护脊书包[话题]# #戈撒驰身高定制书包[话题]#</t>
  </si>
  <si>
    <t>军嫂男哥的发光日记</t>
  </si>
  <si>
    <t>62a5ee40000000002102a36b</t>
  </si>
  <si>
    <t>湖南</t>
  </si>
  <si>
    <t>2025-07-29 02:32:08</t>
  </si>
  <si>
    <t>https://www.xiaohongshu.com/user/profile/62a5ee40000000002102a36b?&amp;xsec_source=pc_note</t>
  </si>
  <si>
    <t>https://www.xiaohongshu.com/discovery/item/68874267000000001001265c?app_platform=android&amp;ignoreEngage=true&amp;app_version=8.47.0&amp;share_from_user_hidden=true&amp;xsec_source=app_share&amp;type=video&amp;xsec_token=CBlfSNe-IjSWZFea7DsISC_Ci3M-4BpbauI7ab9iEQJOk=&amp;author_share=1</t>
  </si>
  <si>
    <t>小学生书包,护脊书包,大容量书包,初中生书包,护脊书包分享,戈撒驰护脊书包,Gotyasatch护脊书包,德国戈撒驰书包,戈撒驰高定护脊书包,戈撒驰身高定制书包</t>
  </si>
  <si>
    <t>687f1e91000000002400c28d</t>
  </si>
  <si>
    <t>1.4m用到1.8m！护脊书包还可以定制？</t>
  </si>
  <si>
    <t>吉米一直在跳国标舞，本来以为体态没什么问题，直到老师找到我说吉米有点高低肩，还有翼状肩胛，我赶紧找到大连理工康复中心的老师看了一下，果然出了问题。产生这些问题的原因，除了平时坐姿不端正之外还有可能是背了设计不合理的书包！肩膀长期受力不均，导致了肌肉不均衡而且处于成长发育期的孩子脊柱在慢慢形成稳定的状态，如果长期受到过重的压迫就会导致脊柱侧弯，从而影响整个人的体态所以在勤做康复动作的同时，也要及时关注孩子日常的背负问题做了功课后，我最终选择了德国品牌戈撒驰他家的护脊书包被称为“高“定包是有说法在的，刚拿到我就打开了背板查看里面有隐藏的身高刻度尺，可任意在140cm-180cm调节相当于随身高定制的书包，从小学背到高中都没问题，终于不用频繁换书包内置的U型铝制支撑杆，贴合孩子的背部曲线支撑力也很好，背上不会下坠拉扯孩子的身体这里要分享一个小科普，书包轻不代表背着轻真正减负还得看有没有支撑点，分散重量这款护脊书包按正确步骤背好后，能把集中在肩部的重量分散到腰背不会再像旧书包那样背上感觉沉甸甸的了！还是35L扩容大容量设计，吉米平时东西很多也能装下不管是书本、作业、水杯、雨伞，还是钥匙、耳机、校园卡都有专门放置的地方，翻找方便配套的大容量笔袋我也给吉米买回来了，刚好搭配起来面料耐磨耐造，日常使用也不用刻意小心保护而且还是符合环保要求的，从细节上考虑到了可持续发展冲着这一点也值得拿下整个包身设计了反光条，我晚上关灯后用照射测试过，非常明显如果还在犹豫护脊书包有没有用？小学生书包怎么选？初中生书包选哪款？真心建议看看这款戈撒驰护脊书包~助力孩子健康快乐成长#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</si>
  <si>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宝藏吉米妈</t>
  </si>
  <si>
    <t>603776ca0000000001004195</t>
  </si>
  <si>
    <t>辽宁</t>
  </si>
  <si>
    <t>2025-07-22 08:36:59</t>
  </si>
  <si>
    <t>https://www.xiaohongshu.com/user/profile/603776ca0000000001004195?&amp;xsec_source=pc_note</t>
  </si>
  <si>
    <t>https://www.xiaohongshu.com/discovery/item/687f1e91000000002400c28d?app_platform=android&amp;ignoreEngage=true&amp;app_version=8.47.0&amp;share_from_user_hidden=true&amp;xsec_source=app_share&amp;type=video&amp;xsec_token=CBcmwSdrBEFQSlPQtE-mrJX0zrcvdGG5Z0_LnV7ZMfstE=&amp;author_share=1</t>
  </si>
  <si>
    <t>6862613c000000002400c0c8</t>
  </si>
  <si>
    <t>喜提“高”定包：这护脊书包太 “哇噻” 了！</t>
  </si>
  <si>
    <t>作为营养师妈妈，我知道孩子成长的每个细节都不能马虎 尤其是即将五年级的滋滋，正值成长发育期 稍不注意就会导致体态、健康方面出现问题 而书包，是每天陪伴孩子的 “亲密伙伴” 也是身体负重的主要来源，千万不能忽视 我用 “研究食谱” 的劲儿做了超多功课 终于挖到了我俩都非常满意的戈撒驰护脊书包，必须来和大家唠唠- 开箱验货：细节控疯狂心动拆箱瞬间就被它的质感征服，花色我选的暗夜花语，很适合女孩子，实物好看又高级～PET环保面料摸起来厚实又顺滑，还能防水！选购的时候就看到它后背内侧有身高刻度，拿到手实际调过之后感觉这个设计很意外，因为它可以根据孩子身高调节到140cm-180cm的任何尺寸，根据身高定制的书包怎么不算是“高”定包呢就不用频繁给娃换书包啦- 硬核护脊：真材实料，科学有效 滋滋四年级的时候书包已经塞不下她的课本了，背着像是压在身上的大山，每天回家不是喊重就是喊累，所以我才选择了这款真的能够专业护脊，科学减负的护脊书包！内置的U型铝制支撑杆贴合后背，防止书包挤压脊柱，她背上也能挺直腰杆。而且按步骤正确背负后，可以把书包重量分散到腰背部，滋滋说“感觉书包像长在身上，不会晃来晃去”！加厚肩带像给肩膀敷了层 “云朵面膜”，背了半小时也没喊累，老母亲终于不用天天担心她驼背、脊柱侧弯了- 分区收纳：比我的食材分类盒还合理 作为一个爱分类收纳的营养师，看到这个书包的隔层设计直接狂喜！35L 大容量，主隔层能轻松塞下笔记本电脑；副隔层装课本、作业，还有他们家大容量的同款笔盒，我也买回来了；侧边口袋单手抽放水杯或者雨伞都超方便，再加上专门的多功能收纳袋，钥匙、钱包、纸巾这些物品归纳得很好，特别是女孩子的一些私密东西装这里特别好！滋滋自己整理书包时，还说“找东西快多了，不怕迟到啦”-戈撒驰的这款护脊书包不仅能保护孩子脊柱，不用我追着喊“别驼背”，细节设计上也处处贴心~无论家长们是想买小学生书包，还是初中生书包，都可以闭眼入#Gotyasatch护脊书包[话题]##戈撒驰护脊书包[话题]##gotyasatch书包[话题]##戈撒驰高定护脊书包[话题]# #戈撒驰书包[话题]##德国戈撒驰书包[话题]##小学生书包[话题]##护脊书包[话题]##护脊书包分享[话题]##初中生书包[话题]##大容量书包[话题]##高颜值书包[话题]##书包分享[话题]#</t>
  </si>
  <si>
    <t>晚风不晚w</t>
  </si>
  <si>
    <t>634acb7c000000001802e4f0</t>
  </si>
  <si>
    <t>2025-06-30 11:11:22</t>
  </si>
  <si>
    <t>https://www.xiaohongshu.com/user/profile/634acb7c000000001802e4f0?&amp;xsec_source=pc_note</t>
  </si>
  <si>
    <t>https://www.xiaohongshu.com/discovery/item/6862613c000000002400c0c8?app_platform=android&amp;ignoreEngage=true&amp;app_version=8.47.0&amp;share_from_user_hidden=true&amp;xsec_source=app_share&amp;type=video&amp;xsec_token=CBepcPxEIB7gbBLY5im--WcLyvi6fbCiLBsOUa6Xx_8xY=&amp;author_share=1</t>
  </si>
  <si>
    <t>Gotyasatch护脊书包,戈撒驰护脊书包,gotyasatch书包,戈撒驰高定护脊书包,戈撒驰书包,德国戈撒驰书包,小学生书包,护脊书包,护脊书包分享,初中生书包,大容量书包,高颜值书包,书包分享</t>
  </si>
  <si>
    <t>686f2d9b0000000023007f39</t>
  </si>
  <si>
    <t>Deepseek推了8次的千元护脊书包，值得冲吗</t>
  </si>
  <si>
    <t>最近为了给娃挑个护脊书包，我快把 AI 问吐了！从 ChatGPT 到Deepseek，输入 “千元护脊书包推荐”，8次搜索结果都首推戈撒驰。这到底是大数据玄学，还是真有两把刷子？！专门跑去线下店看过，书包和背部贴合得像1V1定制的一样。确实是心动的，不过毕竟千元价位，纠结症又犯了...这一波被DS按着头的安利，到底值不值得听？有没有买过的姐妹来说说：耐造程度咋样？求真实反馈！！！#护脊书包[话题]# #宝妈求助[话题]# #Deepseek[话题]# #Gotyasatch护脊书包[话题]#</t>
  </si>
  <si>
    <t>https://www.xiaohongshu.com/explore/686f2d9b0000000023007f39?xsec_token=MBmgL9GZA1UIy3NLUvDlO-zT04UBi_LtuFibV2Dj_72rg=&amp;xsec_source=pc_pgy</t>
  </si>
  <si>
    <t>68818c11000000000b02fe08</t>
  </si>
  <si>
    <t>选护脊书包别盲目跟风，适配成长才是关键</t>
  </si>
  <si>
    <t>以前图好看，给娃买的都是卡通图案的书包，看着轻巧，其实背带又细又软，没什么支撑性。刚开始没在意，突然有一天发现娃写作业时总歪着肩膀，说脖子和肩膀酸，后来观察到娃走路都有点含胸驼背了！咨询了儿保专家才知道是肩膀长期承受重力导致的不仅肩颈疼，时间久了脊柱还可能变形，影响健康。所以选书包真不是看颜值就行，减负护脊很重要！今天一篇告诉你如何给孩子挑选到适合的护脊书包，可参考图2-3我给孩子选的是这款德国戈撒驰护脊书包！它后背隐藏的身高刻度，140-180cm可调节，娃今年148cm，轻轻移动到对应刻度即可；明年长高了再调一次，书包又能严丝合缝贴合后背。就像给每个阶段的孩子定制的专属书包，不管长多快，脊柱都能被准确托住，到时候直接给她当初中生书包用，这个可以针对身高进行定制的“高”定包太省妈了！内置的U型铝制支撑杆，符合人体工学，能有效吸收书包内部的压力，结合高弹背板形成支撑力，背起来不往下坠，脊柱就不会被拉扯到啦，再加上加宽加厚肩带、可调节胸扣和腰带，不仅能牢牢固定书包，还能将肩部重量均匀分散到腰背部，实现有效减负，真正做到专业护脊！35L扩容大容量，多层分区让收纳变得很简单！小学高年级课本增多，更需要这种大容量的书包！日常的书本、辅导书、作业、饭盒都能放，侧边还可以装水杯、雨伞、钥匙等，前袋一拉连足球都能装下。他家配套的笔袋我也给娃买了，尺子、笔、修正带全都能装下啦。书包材质不是那种软趴趴的，它采用的是德国PET环保面料，防水扎实又挺阔，质感+颜值均在线！家长们别再盲目跟风选不实用的书包，帮孩子挑个适合的护脊书包，守护孩子健康成长✌️#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</si>
  <si>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糖糖糖</t>
  </si>
  <si>
    <t>5c1369926d4a730001d4470d</t>
  </si>
  <si>
    <t>2025-07-24 09:42:24</t>
  </si>
  <si>
    <t>https://www.xiaohongshu.com/user/profile/5c1369926d4a730001d4470d?&amp;xsec_source=pc_note</t>
  </si>
  <si>
    <t>https://www.xiaohongshu.com/discovery/item/68818c11000000000b02fe08?app_platform=android&amp;ignoreEngage=true&amp;app_version=8.47.0&amp;share_from_user_hidden=true&amp;xsec_source=app_share&amp;type=normal&amp;xsec_token=CBbV21eOPrkAb9rj3f07H1P2zU-Fd49OInTx3evFp28v4=&amp;author_share=1</t>
  </si>
  <si>
    <t>68620552000000002400d8e4</t>
  </si>
  <si>
    <t>现在的初中生书包太逆天，还能跟着娃长高！</t>
  </si>
  <si>
    <t>[种草R]我家初中娃为八下备考，书包塞得像小山⛰️每天回家喊肩膀酸，最近发现她走路弯腰驼背，脊柱都要被压弯了！娃的成绩重要，体态更不能毁啊！ 我做了大量功课，挖到德国戈撒驰护脊书包，今天开箱实测，拯救“小虾米”体态[向右R]护脊减负黑科技，堪称“脊柱保镖”先说这个书包我觉得很独特的一点，是它可以根据身高进行定制，在140cm-180cm根据孩子成长自由调节到合适的位置，孩子年年长个，不能调的书包半年就卡脖子，这款从初一用到高三也可以不用换。而且它内置的U型铝制支撑杆，据说是专业登山包同款配置，有德国IGR人体工学认证，贴合孩子的背部曲线，娃了用半个月，身姿都挺拔了。背书包时自觉挺直腰。这款初中生书包采用多点支撑承托，把集中在肩部的重量分散到腰部和背部。孩子直说，以前的书包背着肩膀像是快被勒断了，现在护脊书包背很久都不酸。[向右R]颜值实用兼备，初中生超爱[种草R]戈撒驰不愧是专业“研究”学生娃的，太懂他们的审美了！我给孩子选的是很清新的蓝色，还有他们家同款大容量笔盒，她拿到就爱不释手。35L扩容大容量，符合初中生的收纳需求：主+副隔层装书本、作业、笔盒，侧边袋可以放水杯和雨伞，平时喜欢的小挂件也可以挂在包上。扩容拉链一拉开空间更大了，运动会当装备包完全没问题。[向右R]面料扎实，背负舒适，防水更安心[种草R]背垫是高弹海绵的，中空凹槽+3D 眼蜂窝网面设计，夏天背后背也清爽，不会汗湿校服。加宽加厚的蝴蝶型肩带，不勒肩、不溜肩，背起来更舒服。整体采用的是PET环保面料，还防水，方方面面的细节都考虑到位了，真的很用心在设计。[向右R]之前也给孩子买过不少书包，但只有这款深入她心！每天都爱惜得很，看着娃现在每天放学回家不再喊累，腰背挺得直直的，我就知道这款护脊书包选对了！如果你也在给孩子选初中生书包，这篇一定要认真看~#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t>
  </si>
  <si>
    <t>大H家有初中生</t>
  </si>
  <si>
    <t>5a7dc2d94eacab1a95ee9bbc</t>
  </si>
  <si>
    <t>2025-06-30 10:03:27</t>
  </si>
  <si>
    <t>https://www.xiaohongshu.com/user/profile/5a7dc2d94eacab1a95ee9bbc?&amp;xsec_source=pc_note</t>
  </si>
  <si>
    <t>https://www.xiaohongshu.com/discovery/item/68620552000000002400d8e4?app_platform=android&amp;ignoreEngage=true&amp;app_version=8.47.0&amp;share_from_user_hidden=true&amp;xsec_source=app_share&amp;type=normal&amp;xsec_token=CBepcPxEIB7gbBLY5im--WcLbOMxP6CyHrBRWZtaoPW-k=&amp;author_share=1</t>
  </si>
  <si>
    <t>6895a25a000000002301a455</t>
  </si>
  <si>
    <t>美国VS中国！为啥回国后要给娃换护脊书包</t>
  </si>
  <si>
    <t>我家弟弟从美国回国读公立，变化特别大，尤其明显的就是书包美国小学生的书包≈空书包课本NO放学校作业NO 基本没有水壶NO 喝直饮水偶尔一个文件夹，大部分都是空的中国小学生的书包=20斤重必带：备用红领巾、小黄帽、文具、水壶书：语文书、数学书、英语书、科学书、道法、书法、美术、音乐本子：回家作业本、语文课堂作业本、数学口算本、科学重点笔记….作文本、方格本，多到数不清只带上课的书都超重，每周还要带一次书法工具箱和乒乓球拍♥️回了国才知道为啥大家都要给孩子买减负的护脊书包，普通书包光是背上腰背就被压弯了，更别提走路，长期这样很容易影响脊柱健康。新学期我们马上升五年级啦，书包预计会更重，暑假给孩子准备学习用品的时候，我了解了些护脊的知识分享给大家（图4），同时新入手了戈撒驰护脊书包也必须安利给大家：1️⃣带身高刻度，是可以根据孩子身高定制的书包。140-180cm可调节，身高在这个区间都可以背，弟弟正是长个子的时候，它能精准适配孩子成长，小升初能继续当初中生书包用，省钱又省心2️⃣内置的U型铝制支撑杆太懂孩子！完美贴合脊柱曲线，结合背板巧妙阻挡压力，不会挤压脊椎，背起来很舒服～加上胸带+ 腰带+肩带的多重承托设计，简直是物理减负大师，轻轻松松就能挺直腰杆，不用担心负重影响体态啦！3️⃣30L 大容量！书本、红领巾、小黄帽还有他家配套大容量笔盒分层放得整整齐齐，侧边放雨伞水杯，娃在操场疯跑都晃不掉，再也没丢过水杯啦，收纳力MAX～4️⃣耐造又安全，细节控妈妈直接冲！面料摸上去很有质感，下雨天溅到水擦一擦就好，背几年都跟新的一样～包身反光条设计，夜晚接娃老远就能看见那抹亮色，安全感满满。给弟弟换了这个护脊书包后，他再也没抱怨肩带勒得肩膀疼，走路挺拔多了，而且每天自己整理收纳学习资料，看来已经适应国内的节奏啦，老母亲也能松一口气了！#Gotyasatch护脊书包[话题]# #戈撒驰护脊书包[话题]# #gotyasatch书包[话题]# #戈撒驰身高定制书包[话题]# #戈撒驰书包[话题]# #德国戈撒驰书包[话题]# #戈撒驰高定护脊书包[话题]# #小学生书包[话题]# #护脊书包[话题]# #大容量书包[话题]# #护脊书包分享[话题]# #初中生书包[话题]# #高颜值书包[话题]# #书包分享[话题]#</t>
  </si>
  <si>
    <t>米米和点点在美国</t>
  </si>
  <si>
    <t>606585b1000000000101c9de</t>
  </si>
  <si>
    <t>2025-08-08 12:47:51</t>
  </si>
  <si>
    <t>https://www.xiaohongshu.com/user/profile/606585b1000000000101c9de?&amp;xsec_source=pc_note</t>
  </si>
  <si>
    <t>https://www.xiaohongshu.com/discovery/item/6895a25a000000002301a455?app_platform=android&amp;ignoreEngage=true&amp;app_version=8.47.0&amp;share_from_user_hidden=true&amp;xsec_source=app_share&amp;type=normal&amp;xsec_token=CBnjRxmTkdR3m3KskfN9ZuNYS-nWjFn3gTpyAhdG3NjAU=&amp;author_share=1</t>
  </si>
  <si>
    <t>Gotyasatch护脊书包,戈撒驰护脊书包,gotyasatch书包,戈撒驰身高定制书包,戈撒驰书包,德国戈撒驰书包,戈撒驰高定护脊书包,小学生书包,护脊书包,大容量书包,护脊书包分享,初中生书包,高颜值书包,书包分享</t>
  </si>
  <si>
    <t>68885195000000002400bdd6</t>
  </si>
  <si>
    <t>四年级娃的升学礼物：好看的护脊书包安排上</t>
  </si>
  <si>
    <t>家有准四年级娃的妈妈们看过来！班主任提醒得太对了，高年级挑书包真得选减负护脊的。这不，新课本一整理，旧书包直接被塞到变形，拎在手上重量非常明显，孩子背着走路歪歪扭扭，当妈的真怕影响脊柱发育！我紧急做功课换了戈撒驰护脊书包，用过直接想安利给所有家长为啥选护脊书包？四年级课程变多，书本、学习用品一装，普通书包没支撑，孩子背久了脊柱压力大，容易弯腰驼背。选对护脊书包，既是给身体减负，也是给学习“助力”，毕竟舒舒服服地才能好好学嘛～✨ 为啥选戈撒驰，这几点疯狂心动！1️⃣适配成长的可调节设计，四年级用到初中都ok！内侧藏着身高刻度尺，140-180cm身高区间自由调，孩子自己都可以操作。她现在正是身高猛长期，一个能随身高定制的护脊书包可以解决大问题2️⃣硬核结构，真护脊不空谈！内置U型铝制支撑杆，符合人体工学，贴合孩子脊柱曲线，结合高弹背板一起给脊柱稳稳支撑。搭配可卸力的胸扣、肩扣、腰带，背好后重量从肩膀分散到腰背，走路不晃、不驼背，背再久也不累，老母亲终于不用天天念叨“别弯腰”啦～3️⃣科学分区收纳，四年级杂乱物品秒归位！30L大容量，隔层、侧袋分工明确，书本、作业、练习册、水杯、雨伞各就各位，再也不用像之前“掏盲盒”那样找东西，女儿现在收拾书包超利索，等上初中扩容拉链打开瞬间多出5L空间，再多书也装得下！还有个前袋，塞校服、足球妥妥的，实用性拉满！他们家配套的大容量笔盒我也买回来了加分项：安全与耐用双在线！- 360度反光条：晚上校门口接娃，老远就能看见，安全感爆棚-不是需要小心呵护的面料，日常小剐蹭一点都不用担心，基本不会留下划痕，爱打闹的四年级孩子也不怕造女儿拿到书包第一句就是“配色好漂亮”，背了几天肩膀也没有出现酸疼感，老母亲真心觉得值！正在考虑给娃换书包的家长，闭眼冲戈撒驰护脊书包，护脊又省心，让升学路上少份焦虑#Gotyasatch护脊书包[话题]# #戈撒驰护脊书包[话题]# #戈撒驰身高定制书包[话题]# #gotyasatch书包[话题]#  #德国戈撒驰书包[话题]# #护脊书包[话题]# #护脊书包分享[话题]# #初中生书包[话题]# #高颜值书包[话题]# #戈撒驰高定护脊书包[话题]#</t>
  </si>
  <si>
    <t>古德的七七</t>
  </si>
  <si>
    <t>5bcf497e06f9880001a4e1c9</t>
  </si>
  <si>
    <t>甘肃</t>
  </si>
  <si>
    <t>2025-07-29 06:21:32</t>
  </si>
  <si>
    <t>https://www.xiaohongshu.com/user/profile/5bcf497e06f9880001a4e1c9?&amp;xsec_source=pc_note</t>
  </si>
  <si>
    <t>https://www.xiaohongshu.com/discovery/item/68885195000000002400bdd6?app_platform=android&amp;ignoreEngage=true&amp;app_version=8.47.0&amp;share_from_user_hidden=true&amp;xsec_source=app_share&amp;type=normal&amp;xsec_token=CBtaPkwJ0ri0aNzuGoBEzszKk5wXtLyOA82fHH-dZuw2k=&amp;author_share=1</t>
  </si>
  <si>
    <t>Gotyasatch护脊书包,戈撒驰护脊书包,戈撒驰身高定制书包,gotyasatch书包,德国戈撒驰书包,护脊书包,护脊书包分享,初中生书包,高颜值书包,戈撒驰高定护脊书包</t>
  </si>
  <si>
    <t>688856990000000003032028</t>
  </si>
  <si>
    <t>6年教师+经验宝妈教你这样选护脊书包!</t>
  </si>
  <si>
    <t>以前当老师的时候，见过太多孩子因书包太重含胸驼背的样子，现在自己成了妈妈，看着女儿瘦瘦小小的身板，背着沉甸甸的书包，我比谁都清楚：孩子的脊柱就像春天的嫩芽，可经不起这样长期拉扯。而且孩子学业一年比一年重，所以趁着暑假，我计划给她换个真正能减负的护脊书包，攻略做得比我当年备教案还认真，对比了十几款，最终敲定了戈撒驰护脊书包。我完全是用教育工作者+妈妈的双重标准在把关：首先是成长适配性，这是我最看重的。女儿现在142cm，正是蹿个子的时候，这款书包可以按身高定制，内侧的身高刻度尺从140-180cm随意调，也算是名副其实的“高”定包了~刚收到她就自己照着身高调到适合的位置，背起来后背贴得紧紧的，不像以前的书包背着总晃悠，感觉等上初中了还可以当初中生书包用。然后是科学减负，这是护脊书包的核心：戈撒驰内置U型铝制支撑杆，可以吸收书包撞击背部的压力，有效保护孩子脊柱，再加上四点承托设计，让肩、胸、腰一起受力，加宽加厚的肩带、高弹背垫和加厚腰垫，能把肩部重量分散到腰背部，就算娃背了很多东西，整个人也能站得笔直，连坐姿都不自觉挺拔了。此外，这款书包的细节设计也很贴心：娃书包背久了怕勒怕闷，但这款书包背垫是Y字形蜂窝网面和中空凹槽设计，便于散热透气，夏天背再久也不闷汗；30L大容量分层清晰，有2个主隔层和1个多功能收纳仓：课本、练习本、钥匙、水杯各有位置，配套的笔袋容量也很大，现在她收拾笔袋和书包都不用我操心了。最惊喜的是反光设计，傍晚接她放学，老远就能看见书包上的光，安全感满满。以前总提醒学生“背挺直”，现在才明白：比起口头叮嘱，使用一个能真正减负的护脊书包，才是给孩子最好的体态引导。毕竟，比起成绩单上的数字，我更希望她能抬头挺胸地走过整个学生时代呀～#Gotyasatch护脊书包[话题]# #戈撒驰护脊书包[话题]# #gotyasatch书包[话题]# #戈撒驰书包[话题]# #德国戈撒驰书包[话题]# #小学生书包[话题]# #护脊书包[话题]##大容量书包[话题]# #护脊书包分享[话题]# #初中生书包[话题]# #高颜值书包[话题]# #书包分享[话题]# #戈撒驰高定护脊书包[话题]# #戈撒驰身高定制书包[话题]#</t>
  </si>
  <si>
    <t>超大只的妮妮</t>
  </si>
  <si>
    <t>5f4c5b07000000000101f165</t>
  </si>
  <si>
    <t>安徽</t>
  </si>
  <si>
    <t>2025-07-29 12:03:41</t>
  </si>
  <si>
    <t>https://www.xiaohongshu.com/user/profile/5f4c5b07000000000101f165?&amp;xsec_source=pc_note</t>
  </si>
  <si>
    <t>https://www.xiaohongshu.com/discovery/item/688856990000000003032028?app_platform=android&amp;ignoreEngage=true&amp;app_version=8.47.0&amp;share_from_user_hidden=true&amp;xsec_source=app_share&amp;type=normal&amp;xsec_token=CBtaPkwJ0ri0aNzuGoBEzszNXccTDnT_ntxWqDGzusFEU=&amp;author_share=1</t>
  </si>
  <si>
    <t>685e8d3b000000001c031573</t>
  </si>
  <si>
    <t>儿子想要一个千元书包，该不该满足他？</t>
  </si>
  <si>
    <t>今年下半年孩子马上要上国际学校了，给他选书包这件事烦了我好几天，去学校办手续的时候发现很多孩子们背的书包都很特别，比较硬挺也很有支撑，问了一个孩子的妈妈说他家孩子背的是戈撒驰书包，可以护脊减轻孩子负担，但有点贵，我在想一个书包而已，真的有必要买这么贵的吗？普通书包难道不能满足日常使用需求？还有如果要买这类功能性书包的话，选购的时候要注意些什么？#初中生[话题]##育儿日常[话题]##名牌[话题]##书包[话题]##戈撒驰护脊书包[话题]##Gotyasatch护脊书包[话题]#</t>
  </si>
  <si>
    <t>西西爱吃肉</t>
  </si>
  <si>
    <t>6777a4460000000015005117</t>
  </si>
  <si>
    <t>2025-06-27 12:52:38</t>
  </si>
  <si>
    <t>https://www.xiaohongshu.com/user/profile/6777a4460000000015005117?&amp;xsec_source=pc_note</t>
  </si>
  <si>
    <t>https://www.xiaohongshu.com/discovery/item/685e8d3b000000001c031573?app_platform=android&amp;ignoreEngage=true&amp;app_version=8.47.0&amp;share_from_user_hidden=true&amp;xsec_source=app_share&amp;type=normal&amp;xsec_token=CBKUO1y0avExSuAP2cnzQwni6gXf05rbym6MQMEJjqOOg=&amp;author_share=1</t>
  </si>
  <si>
    <t>初中生,育儿日常,名牌,书包,戈撒驰护脊书包,Gotyasatch护脊书包</t>
  </si>
  <si>
    <t>687f000800000000130122e7</t>
  </si>
  <si>
    <t>后悔买晚了！原来护脊书包真的能撑腰</t>
  </si>
  <si>
    <t>有次送十岁儿子上学，看着他背着书包前倾的背影，心里咯噔一下。作为一名育婴师，我太清楚脊柱健康对孩子的重要性了——这些年接触过不少小朋友，了解到脊柱侧弯已经成了儿童健康的第三大杀手，很多是从小书包没选对埋下隐患，跑跳时书包晃得像个钟摆，后背无支撑，久而久之孩子自然就养成含胸驼背的坏习惯。所以换护脊书包这事，我一点不敢含糊，对比了十几款，最终敲定了戈撒驰——不是跟风，是它的专业设计真的戳中了我。​首先让我心动的是它内侧隐藏的身高刻度尺，140-180cm随意调节，匹配不同阶段孩子的成长需求。我儿子现在十岁，正是蹿个子的时候，书包能跟着他“同步升级”，根据身高定制，就像是“高”定包，即使上初中也不用特意换初中生书包啦内置的U型铝制支撑杆，符合人体工学，像给脊柱加了隐形防护网，这才是护脊书包该有的硬核配置。之前看到大家有个误区：书包轻就能减负。其实不然，减负看的是支撑力和承托力。这款书包背上后，​加宽加厚的肩带、高弹的背垫以及加厚的腰垫，牢牢包裹住孩子身体，形成多点承托系统，抗震减压，而且经专业实测减负效果达64.8%。以前儿子放学回家总说肩膀酸，现在背戈撒驰走一路，放下书包还能蹦蹦跳跳去打球，一点不累的样子。护脊书包的收纳也很讲究，比如这个书包分区合理，作业、书本、练习册以及水杯、雨伞、钥匙都能对应放置，扩容拉链打开瞬间多出5L空间，配套的笔袋也跟书包一样，特能装！还有个创意前袋，打开能放足球、衣服这种大件物品。面料摸上去质感很好，昨天我看儿子写作业写不出来烦躁的用笔在书包上划拉，正想说他呢，一看书包没啥事儿，也就随他了，心情不好时适当发泄下也是应该的而且这个面料还是环保的，感觉比较安全。脊柱发育是单行道，选对护脊书包，从小让孩子保持良好的体态，比什么都重要。​#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</si>
  <si>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汪小妮的90后辣妈</t>
  </si>
  <si>
    <t>6401a76c000000002a00ae31</t>
  </si>
  <si>
    <t>2025-07-22 11:51:06</t>
  </si>
  <si>
    <t>https://www.xiaohongshu.com/user/profile/6401a76c000000002a00ae31?&amp;xsec_source=pc_note</t>
  </si>
  <si>
    <t>https://www.xiaohongshu.com/discovery/item/687f000800000000130122e7?app_platform=android&amp;ignoreEngage=true&amp;app_version=8.47.0&amp;share_from_user_hidden=true&amp;xsec_source=app_share&amp;type=video&amp;xsec_token=CBcmwSdrBEFQSlPQtE-mrJX0dKjC3IcqGBA0Lg82aY0vU=&amp;author_share=1</t>
  </si>
  <si>
    <t>685cdcac000000000d0274cc</t>
  </si>
  <si>
    <t>不是所有书包都护脊！一篇教你选对护脊书包</t>
  </si>
  <si>
    <t>作为一个小学4年给娃换过6个书包的常年踩坑老母亲，我悟了：普通书包再好看，背久了驼背+肩膀酸，舞蹈课练出的挺拔体态全白费！尤其我家156cm的“舞蹈小孩姐”马上进入五年级，课程增加书包重量飙升，再继续背那些普通书包，造成脊柱侧弯可就后悔了！所以趁娃升学前赶紧做功课，入手了德国戈撒驰护脊书包，孩子爸都夸我太会选了，今天就给大家分享下~护脊书包选购3大铁律1⃣️别被“轻”忽悠！支撑力才是核心❌ 超轻书包装书后肩带勒肉，负重感还会增加，娃走路直往后仰✅ 科学减负=分散压力！戈撒驰这款书包内置的U型铝制支撑杆，和专业户外登山包同款设计，孩子背上后我用手试探过，和孩子背部是真贴合，几乎感觉不到书包对背部的压迫感，再加上背板能够提供良好的支撑性，装满书后底部都没有以前那种往下坠的感觉了。上身测试时把上肩扣、胸扣、腰扣扣好，娃说像背了个“隐形气球”，重量被“隐形气球”拉起来，腰背自然就挺直了，舞蹈生再也不怕被书包毁了好体态！2⃣️身高适配≠将就！必须“动态成长”❌ 普通书包用半年就嫌小，肩带调最长还吊在屁股上✅刚拿到这款护脊书包我就迫不及待先打开了它内侧隐藏的身高刻度，从140-180cm，背到初中完全没有问题（又省一个初中生书包），对于家里有个“疯狂长个儿“的娃的家庭来说，这点真的很惊喜，而且PET环保面料扎实耐用又防水，终于不用频繁换书包了！3⃣️大容量≠胡乱塞！分区收纳才合理❌ 书包没分区？书本乱堆重心不稳，脊椎天天被拉扯！✅ 护脊书包必须科学分层！主隔层放课本、作业、笔盒，副隔层可装笔记本，中间的扩容空间，拉开30L秒变35L。侧兜插水杯、雨伞，还有一个前袋放舞蹈鞋和舞蹈服。他们家同款的大容量笔盒我也买回来了，两者搭配，收纳王者没跑了！最后说句大实话护脊书包不是常买常新，尤其是在一年窜高10cm的年龄，可调节的人性化设计才是动态适应成长的有效方式～#Gotyasatch护脊书包[话题]# #戈撒驰护脊书包[话题]# #gotyasatch书包[话题]# #戈撒驰书包[话题]# #德国戈撒驰书包[话题]# #小学生书包[话题]# #护脊书包[话题]# #大容量书包[话题]# #护脊书包分享[话题]# #初中生书包[话题]# #大容量书包[话题]# #高颜值书包[话题]# #书包分享[话题]#</t>
  </si>
  <si>
    <t>兰姐Lance</t>
  </si>
  <si>
    <t>55691c49e58d130c65c1886b</t>
  </si>
  <si>
    <t>2025-06-26 06:07:10</t>
  </si>
  <si>
    <t>https://www.xiaohongshu.com/user/profile/55691c49e58d130c65c1886b?&amp;xsec_source=pc_note</t>
  </si>
  <si>
    <t>https://www.xiaohongshu.com/discovery/item/685cdcac000000000d0274cc?app_platform=android&amp;ignoreEngage=true&amp;app_version=8.47.0&amp;share_from_user_hidden=true&amp;xsec_source=app_share&amp;type=normal&amp;xsec_token=CBeXm1ndMbVGlIlBTZxxcZKFeoByi8bl3Cp0HNlBoaKHo=&amp;author_share=1</t>
  </si>
  <si>
    <t>688070590000000012021271</t>
  </si>
  <si>
    <t>小学准毕业生开学礼物收到两个护脊书包</t>
  </si>
  <si>
    <t>五升六小学准毕业生的开学礼物，一次性收到两个护脊书包！妈妈送的戈撒驰护脊书包和小姨送的GMT护脊书包，它们都有护脊设计，也都通过了IGR护脊认证。戈撒驰是身高定制书包，可以在140-180cm之间任意调节。这个不仅GMT，其它我知道的护脊书包都没有。nini现在正是长个子的阶段，今年调一次，明年长高了再调一次，直接可以当初中生书包用。还有模拟人体脊柱曲线的护脊系统，专业登山包才有的U型铝制支撑杆，正确背负后减负效果达64.8%！小姨送的GMT的护脊背板也很不错，搭配S型护脊铝条，背起来也是很舒服哒~30L的大容量，分区也很清晰。但戈撒驰有扩容设计，拉链拉开秒变35L，它的分区特别细致，作业、书本、饭盒都能装，还有专门的文具隔层，连孩子的红领巾、校牌都照顾到。nini在上羽毛球课，书包前袋还能装羽毛球拍，实用性拉满。两款书包的包身都设计得有反光条，夜晚出行时灯光一照特别显眼，安全感瞬间提升，但反光面积有区别。面料的话，两款都是环保的，用料很扎实，也能防水。那么...你们说nini到底更喜欢哪款护脊书包呢❓#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</si>
  <si>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甜甜nini</t>
  </si>
  <si>
    <t>646f56a7000000001c029a15</t>
  </si>
  <si>
    <t>2025-07-24 08:36:23</t>
  </si>
  <si>
    <t>https://www.xiaohongshu.com/user/profile/646f56a7000000001c029a15?&amp;xsec_source=pc_note</t>
  </si>
  <si>
    <t>https://www.xiaohongshu.com/discovery/item/688070590000000012021271?app_platform=android&amp;ignoreEngage=true&amp;app_version=8.47.0&amp;share_from_user_hidden=true&amp;xsec_source=app_share&amp;type=video&amp;xsec_token=CBVPyoiYuODusAoczjBSjhPEleqOSWL_k7MyWHGV5-eSU=&amp;author_share=1</t>
  </si>
  <si>
    <t>6861ff6d0000000017031e37</t>
  </si>
  <si>
    <t>江浙沪妈妈养娃经：护脊书包选错毁孩子体态</t>
  </si>
  <si>
    <t>家有即将上五年级的娃，曾踩过巨坑：❌轻信“书包越轻越好”，导致孩子含胸驼背，体态全无；❌盲目追求大容量，书包背在背上变得“晃荡不羁”，孩子走路都提不起精气神，而且长期错误负重会悄悄损伤孩子尚未发育完全的脊柱！❌觉得颜值花哨才讨孩子喜欢，结果容易过时不说，背不了多久图案就被磨破了，换包比换季还快。直到挖到这款戈撒驰护脊书包，才知道科学减负原来如此简单！✅内置 U 型铝杆如同隐形支架，将满满当当的书本稳稳承托，让孩子挺直腰背；搭配上四点承力系统精准分散压力，正确背负后减负效果达64.8%，背再久也不累；✅它还完美契合初中生书包的严苛标准！35L大容量搭配科学分层，不仅装得下小学课本文具，升入初中后，厚重的教辅、笔盒、水杯也能有序收纳，告别杂乱晃动。还有同款笔盒，也是多层空间收纳，文具再多也不怕。✅经典配色，耐看不过时；PET环保面料摸起来很扎实，不会软塌塌的，而且防水耐磨，泼上饮料一擦就净；包身360度反光条，晚上走夜路特显眼，安全系数拉满。从小学高年级到初中，个子蹭蹭长也不用担心，因为孩子长它也跟着长，后背隐藏得有身高刻度条，在140cm-180cm这个区间可以任意调节，多方位守护孩子成长，大孩子的“负重危机”总算有解法了！#Gotyasatch护脊书包[话题]#、#戈撒驰护脊书包[话题]#、#gotyasatch书包[话题]#、#戈撒驰书包[话题]#、#德国戈撒驰书包[话题]#、#小学生书包[话题]#、#护脊书包[话题]#、#大容量书包[话题]#、#护脊书包分享[话题]#、#初中生书包[话题]#、#高颜值书包[话题]#、#书包分享[话题]#</t>
  </si>
  <si>
    <t>小主沛绮</t>
  </si>
  <si>
    <t>565fdcd482ec390659ae6a0e</t>
  </si>
  <si>
    <t>2025-06-30 07:04:51</t>
  </si>
  <si>
    <t>https://www.xiaohongshu.com/user/profile/565fdcd482ec390659ae6a0e?&amp;xsec_source=pc_note</t>
  </si>
  <si>
    <t>https://www.xiaohongshu.com/discovery/item/6861ff6d0000000017031e37?app_platform=android&amp;ignoreEngage=true&amp;app_version=8.47.0&amp;share_from_user_hidden=true&amp;xsec_source=app_share&amp;type=video&amp;xsec_token=CBK6GithoaR7vYJE526FiB-Az6cOo9-5YeyeAfvLHH6Zw=&amp;author_share=1</t>
  </si>
  <si>
    <t>68620bb30000000024008741</t>
  </si>
  <si>
    <t>挖到宝❗️初中生书包让“小老头”背出挺拔身</t>
  </si>
  <si>
    <t>当妈后才发现，给孩子选个合适的书包真不比当年挑老公简单！尤其上了初中，那课本重量噌噌涨！儿子才初一，书包就重得像塞了砖头眼看着他那肩膀一天比一天塌，走路都隐隐有了“小老头”的架势，老母亲我是真坐不住了商场跑了，小红书翻烂了，最后入了德国戈撒驰护脊书包。初中生书包用了小半年，变化是真真切切看在眼里，必须跟姐妹们唠唠真实体验[赞R]先说身高定制，从140cm-180cm根据孩子身高任意调节，孩他爸都能背得上！其次是减负护脊，孩子以前背普通书包，时间一长就不自觉地含胸驼背。换了这个护脊书包后，身姿挺拔多了。秘密就在于里面有U型铝制支撑杆，搭配上立体背板，像有双无形的手托着背。再加上四点支撑设计，肩部+胸部+腰部形成多点承托，全面包裹孩子身体，将肩部重量分散到腰背部，肩膀自然就轻松多了我家孩子现在157cm，调到对应位置后，书包顶部刚好到肩胛骨下面，怎么蹦跳都不会滑到腰上，真正实现动态贴合！蝴蝶肩带又宽又厚实，以前放学回家肩头总有两道红印子，现在光溜溜啥也没有！问他重不重，他说：“感觉轻多了，书包装满都没压力。”再说说收纳设计。以前儿子的书包简直像个移动垃圾桶，所有东西搅成一团，急得他冒汗也翻不着。现在可省心了！这书包容量有30L，分区也做得贼明白：✅主+副隔层：放A4课本、作业和他家同款的大容量笔盒✅侧兜：水杯和雨伞插进去都不晃悠✅多功能收纳仓：钥匙、耳机、湿巾等小物件随便放现在每天他自己三两下就能收拾利索，我也省心不少！而且儿子有晚自习，回家要走夜路，我一直很担心。但这书包的反光条设计，晚上车灯一照特别显眼✨，心里瞬间踏实多了。昨晚孩子收拾书包时，我发现他偷偷在正面挂了他喜欢的徽章。突然意识到，好书包不仅护脊，还能让孩子在细节里找到自信，真的太值了！#Gotyasatch护脊书包[话题]##戈撒驰护脊书包[话题]##gotyasatch书包[话题]##戈撒驰书包[话题]##德国戈撒驰书包[话题]##小学生书包[话题]##护脊书包[话题]##大容量书包[话题]##护脊书包分享[话题]##初中生书包[话题]##高颜值书包[话题]##书包分享[话题]#</t>
  </si>
  <si>
    <t>大豆芽小米果。</t>
  </si>
  <si>
    <t>61fb485000000000210204c4</t>
  </si>
  <si>
    <t>2025-06-30 08:53:23</t>
  </si>
  <si>
    <t>https://www.xiaohongshu.com/user/profile/61fb485000000000210204c4?&amp;xsec_source=pc_note</t>
  </si>
  <si>
    <t>https://www.xiaohongshu.com/discovery/item/68620bb30000000024008741?app_platform=android&amp;ignoreEngage=true&amp;app_version=8.47.0&amp;share_from_user_hidden=true&amp;xsec_source=app_share&amp;type=normal&amp;xsec_token=CBepcPxEIB7gbBLY5im--WcDHWgteUtR7-gZ0LcVmfoQQ=&amp;author_share=1</t>
  </si>
  <si>
    <t>6889dc6b000000000403ece8</t>
  </si>
  <si>
    <t>新学期的仪式感，换个真减负的护脊书包</t>
  </si>
  <si>
    <t>哥哥开学五升六 ~现在他不仅蹿个像按了快进键，学业也是越来越重，去年的书包背着不合身不说，装着沉甸甸的课本简直要把肩压垮了！所以我琢磨给他换个护脊书包，最好一次到位，能直接背到初中当初中生书包用！做功课后入了两款热门的：戈撒驰和贝克曼，跟大家唠唠我的感受~一、核心需求：能不能跟着孩子“长”？毕竟孩子长个子快，总换书包既费钱又麻烦。-戈撒驰书包背部有身高刻度， 140-180cm身高随意调，是他们家独研的身高定制系统，妥妥的“高”定包~现在150cm背得稳稳的，以后当初中生书包用也没问题-贝克曼适配140-175cm，虽然没有身高调节功能，但是本身重量轻，背上无压力，也适合大部分这个年龄段的孩子二、护脊结构❌普通书包没有支撑，装的东西多了下坠感很明显，长此以往脊柱问题会找上门-戈撒驰有U型铝制支撑杆，加上3D透气背板，背上就像有隐形支架托着背，孩子背着书包也能挺直腰杆，配上加宽加厚的肩带、高弹背垫、腰垫，将肩部压力合理分散到腰背部，怪不得减负效果能达64.8% -贝克曼是仿生S型铝支架+仿生抗冲击背板，支撑力不错，减负效果达40%三、容量分层 -戈撒驰30L，有2个主隔层和1个多功能仓，我专门研究了下：主隔层可以放课本和配套大容量笔袋，副隔层就放作业本，一些比较小的钥匙、计算器就放在收纳仓中，侧边放水杯，这样收拾、找东西都不费劲，初中生书包有这容量用也够够的！-贝克曼30L，分层是主袋+副袋+前兜的设计，日常也够用四、细节 两款都是环保面料+反光设计，我儿子说像披了件会发光的铠甲一样，黑夜里亮晃晃的，出行安全感拉满五、总结最后还是选了戈撒驰，哥哥虽然还在上小学，但护脊书包早买早享受，而且这款能跟着儿子个子“长”，背到初高中都没有问题，而且他背起来轻松，我也更省心~放学后，看他背着书包稳稳当当走过来，腰杆挺得笔直，作为妈妈，这种踏实感比啥都强！#戈撒驰高定护脊书包[话题]# #小学生书包[话题]# #护脊书包[话题]# #大容量书包[话题]# #护脊书包分享[话题]# #初中生书包[话题]# #高颜值书包[话题]# #书包分享[话题]# #戈撒驰身高定制书包[话题]##Gotyasatch护脊书包[话题]#</t>
  </si>
  <si>
    <t>双宝麻麻</t>
  </si>
  <si>
    <t>65eb20fe000000000500c3be</t>
  </si>
  <si>
    <t>2025-07-30 09:04:29</t>
  </si>
  <si>
    <t>https://www.xiaohongshu.com/user/profile/65eb20fe000000000500c3be?&amp;xsec_source=pc_note</t>
  </si>
  <si>
    <t>https://www.xiaohongshu.com/discovery/item/6889dc6b000000000403ece8?app_platform=android&amp;ignoreEngage=true&amp;app_version=8.47.0&amp;share_from_user_hidden=true&amp;xsec_source=app_share&amp;type=normal&amp;xsec_token=CBZCKRpjGwvRElm7U72-X3VZRQeXqg83hi7fXcHeqMs5o=&amp;author_share=1</t>
  </si>
  <si>
    <t>戈撒驰高定护脊书包,小学生书包,护脊书包,大容量书包,护脊书包分享,初中生书包,高颜值书包,书包分享,戈撒驰身高定制书包,Gotyasatch护脊书包</t>
  </si>
  <si>
    <t>68959110000000002501f88e</t>
  </si>
  <si>
    <t>三升四2款热门护脊书包测评！避坑指南！</t>
  </si>
  <si>
    <t>小翼即将三升四啦！三年级起书包便“超载”严重，课本、练习册数量激增，作业本规格也比低年级大了一圈！上学期末，他用了3年的书包包带崩断，临时买的运动书包自重虽轻，但多装些东西就疯狂压肩​因此，我开始认真研究护脊书包，想给孩子选个合适的！最后挑了戈撒驰和GMT，实测3天，整理出这份超详细对比✅身高定制➡️戈撒驰：成长期孩子发育快，书包现在合适明年可能就不合身了，但这款书包在140-180cm内可随意调节，孩子长高，书包跟着长“个”，简直就是“高”定包，太省心了！➡️GMT：适配150-180CM，但没有身高定制功能✅护脊减负：➡️戈撒驰：内置U型铝制支撑杆，能更好地贴合背部曲线，吸收来自书包的撞击力，加上3D透气背板，支撑和舒服都占了，拉紧肩带、扣好胸、腰扣后，减负效果能达64.8%，小翼说：肩膀终于不难受了！➡️GMT：S型护脊铝条，支撑还行，但没扒到减负值✅收纳分层：➡️戈撒驰：30+5L的扩容设计，课本资料放主副层、水杯装侧兜、公交卡和钥匙装进多功能收纳层，小翼是个文具控，我还买了配套的大容量笔袋给他~前袋很实用，拉开后能放雨衣、饭盒、画材、足球等，当初中生书包用也是够够的啦！➡️GMT：30L，双隔层+收纳袋，能满足日常简单收纳✅细节：1️⃣反光条设计：两款都有，测试了一下，我觉得戈撒驰反光范围大，而且亮2️⃣DIY装饰：戈撒驰有可替换个性标记带，GMT有DIY织带环，让孩子自由发挥创意总结：最后选了戈撒驰，满足中高年级孩子书本重、杂物多、需要长期护脊的需求~一次投资用到初中，符合我长期主义的要求！！▫️雪梨：文化圈斜杠打工人 | 前书店策划人▫️小翼：爱画画的石头迷 | 三年级小学森▫️博物 | 文史 | 一起学习&amp;长大▫️看书 | 看展 | 从0到∞在眼中#Gotyasatch护脊书包[话题]# #戈撒驰护脊书包[话题]# #gotyasatch书包[话题]# #戈撒驰书包[话题]# #德国戈撒驰书包[话题]# #小学生书包[话题]# #护脊书包[话题]# #大容量书包[话题]# #戈撒驰高定护脊书包[话题]##护脊书包分享[话题]# #初中生书包[话题]# #高颜值书包[话题]# #书包分享[话题]# #戈撒驰身高定制书包[话题]#</t>
  </si>
  <si>
    <t>冰凍雪梨和小翼</t>
  </si>
  <si>
    <t>54ddcb7e2e1d937b56d667c8</t>
  </si>
  <si>
    <t>2025-08-08 09:36:06</t>
  </si>
  <si>
    <t>https://www.xiaohongshu.com/user/profile/54ddcb7e2e1d937b56d667c8?&amp;xsec_source=pc_note</t>
  </si>
  <si>
    <t>https://www.xiaohongshu.com/discovery/item/68959110000000002501f88e?app_platform=android&amp;ignoreEngage=true&amp;app_version=8.47.0&amp;share_from_user_hidden=true&amp;xsec_source=app_share&amp;type=normal&amp;xsec_token=CBnjRxmTkdR3m3KskfN9ZuNcDlUHaZaPUSgQuxaAdDe0w=&amp;author_share=1</t>
  </si>
  <si>
    <t>Gotyasatch护脊书包,戈撒驰护脊书包,gotyasatch书包,戈撒驰书包,德国戈撒驰书包,小学生书包,护脊书包,大容量书包,戈撒驰高定护脊书包,护脊书包分享,初中生书包,高颜值书包,书包分享,戈撒驰身高定制书包</t>
  </si>
  <si>
    <t>68621f7c000000000b01ed5a</t>
  </si>
  <si>
    <t>这初中生书包把「护脊 + 野趣」玩明白了</t>
  </si>
  <si>
    <t xml:space="preserve"> 带兔子和她的朋友们去徒步，亲眼看见她的朋友▪️ 爬山时书包在背上晃荡，弯腰系鞋带差点被晃倒▪️ 才走一半肩膀已经被勒得红红的，身体都被压弯了▪️ 休息时打开书包，湿巾发圈和零食挤成一团…而兔子背着戈撒驰护脊书包，像装了「隐形背撑」，跑跳时书包也稳稳贴在背上，全程昂首挺胸，一点没感受到书包的负重感。️ 我给娃挑选的初中生书包，为什么是学生党+户外党必入？1. 爬山不晃腰，护脊又减负✔️ U 型铝制支撑杆+多点承托模拟人体脊柱自然曲线，完美贴合孩子后背线条。就像一双温柔有力的手，稳稳托住正在发育的脊柱，给脊椎最安心的保护，就算爬山的时候，也可以自由的跑跳。正确背负后，加宽加厚的肩带+腰垫，以及高弹背垫，科学分散压力，肩膀不勒不滑溜，户外路上手臂也可以轻松地活动。2. 从 140cm长到180cm，一个书包跟到高中毕业✔️ 内侧隐藏得有身高刻度“成长型”设计适配 140-180cm根据身高可定制的书包我之前还真没遇到过，感觉叫“高”定包也很合适哈哈，买一个包，从小学背到高中毕业！老母亲默默省下多个书包钱3. 面料用心，舒适透气不闷汗✔️高弹海绵背垫：走路跑跳都能抗震减压，书本再多也不硌背！Y字形蜂窝网面+中空凹槽设计，后背透气通道全开，夏天运动后闷汗是不存在的，彻底告别“湿背感”！4. 30L分区大收纳+可替换个性标记带✔️2个主隔层加1个多功能收纳仓，平时的作业、书本、文具都能放，徒步用的水杯、雨伞、零食、湿巾等也分区放，一下子就能找到，他们家配套的笔盒我也买了，也非常能装。书包在正面特别设计了可替换个性标记带，可以挂心仪的卡通挂件、徽章，兔子这次还没来得及装饰，但潮玩打造已经有自己的想法了~环保面料扎实又防水，我选的北欧蓝实物比图片还好看，耐脏又清新~给孩子选书包就是选「成长伙伴」——既要在课堂上撑起知识重量，也要在山野间陪她放肆奔跑#Gotyasatch护脊书包[话题]# #戈撒驰护脊书包[话题]# #gotyasatch书包[话题]# #戈撒驰书包[话题]# #德国戈撒驰书包[话题]# #小学生书包[话题]# #护脊书包[话题]# #大容量书包[话题]# #护脊书包分享[话题]# #初中生书包[话题]# #大容量书包[话题]# #高颜值书包[话题]# #书包分享[话题]# #徒步背包[话题]##点亮假日微笑[话题]#</t>
  </si>
  <si>
    <t>兔妈和小耳兔</t>
  </si>
  <si>
    <t>597bf28982ec3928e773b0fa</t>
  </si>
  <si>
    <t>新疆</t>
  </si>
  <si>
    <t>2025-06-30 06:41:34</t>
  </si>
  <si>
    <t>https://www.xiaohongshu.com/user/profile/597bf28982ec3928e773b0fa?&amp;xsec_source=pc_note</t>
  </si>
  <si>
    <t>https://www.xiaohongshu.com/discovery/item/68621f7c000000000b01ed5a?app_platform=android&amp;ignoreEngage=true&amp;app_version=8.47.0&amp;share_from_user_hidden=true&amp;xsec_source=app_share&amp;type=normal&amp;xsec_token=CBepcPxEIB7gbBLY5im--WcIf7N5o2Ua_B3A9MHKN3dLA=&amp;author_share=1</t>
  </si>
  <si>
    <t>Gotyasatch护脊书包,戈撒驰护脊书包,gotyasatch书包,戈撒驰书包,德国戈撒驰书包,小学生书包,护脊书包,大容量书包,护脊书包分享,初中生书包,高颜值书包,书包分享,徒步背包,点亮假日微笑</t>
  </si>
  <si>
    <t>687eeff8000000002400c873</t>
  </si>
  <si>
    <t>拆箱实测 | 带你硬核挑选初中生书包‼️</t>
  </si>
  <si>
    <t>学习压力大的初中生，书包装个10来斤书都是平平常常的事，一不小心就会伤到脊柱。如何给孩子挑选一款适合的、能护脊的初中生书包？妈妈我也是做足了功课挑选了两款热门护脊书包：戈撒驰和贝克曼回家，让我家初中生姐姐实测给大家做个简析，从✅护脊减负✅细节做工✅容量✅加分小细节展开测评首先分享一个戈撒驰的独特设计：书包内侧隐藏身高刻度，140-180cm任意调节，能更好地适配不同身高的孩子，妥妥的身高定制书包，叫“高”定包不为过吧太适合身高蹭蹭长的初中生了，像姐姐，初一的时候才152cm现在都158cm了！两款护脊书包都有德国IGR护脊认证，戈撒驰内置的是U型铝制支撑杆，专业户外登山包才有的减负设计，可以通过吸收书包内部的压力和撞击力来保护脊柱，再正确背负，姐姐说背着感觉不到重，因为它实测减负效果可达64.8%，确实很厉害 贝克曼用的是一条贴合脊柱的仿生S型铝支架，同样也是胸扣腰带分散压力，减负数据是40%在收纳方面，戈撒驰是30+5L扩容大容量设计， 能满足不同课业需求，贝克曼也是35L，两款书包在书本、作业、文具方面的收纳都很不错，但戈撒驰有一个前袋，拉开后不仅能装衣服，还能装羽毛球拍、乒乓球拍、篮球鞋，很实用！细节来说，拉链的顺滑度都不错，书包压线扎实，面料很抗造，一看就可以背很久。实测下来，两款护脊书包都有自己的加分项，姐姐更喜欢戈撒驰，因为是姐姐每天背，选择权自然是交给她~#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</si>
  <si>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听话的孩子有糖吃</t>
  </si>
  <si>
    <t>5d9d7a770000000001006dc9</t>
  </si>
  <si>
    <t>2025-07-22 06:23:13</t>
  </si>
  <si>
    <t>https://www.xiaohongshu.com/user/profile/5d9d7a770000000001006dc9?&amp;xsec_source=pc_note</t>
  </si>
  <si>
    <t>https://www.xiaohongshu.com/discovery/item/687eeff8000000002400c873?app_platform=android&amp;ignoreEngage=true&amp;app_version=8.47.0&amp;share_from_user_hidden=true&amp;xsec_source=app_share&amp;type=video&amp;xsec_token=CByPhjGroPfiy3j7UFz1vdxDypvS4549Tz6dH0H7xPOAo=&amp;author_share=1</t>
  </si>
  <si>
    <t>686213f1000000001c031a07</t>
  </si>
  <si>
    <t>高能量10后小学生假期出游装备-护脊书包</t>
  </si>
  <si>
    <t>糖糖平时既要应对学校里繁重的课业，又要在舞蹈室里反复练习舞蹈动作，累得每天回家就躺着不动。所以一到假期或者周末，我就喜欢带着她一起去户外徒步感受大自然的气息呼吸一下新鲜空气，也锻炼锻炼身体~本想让孩子好好放松，却总被背包问题扫了兴。普通书包背着没走多久，肩膀就像被粗绳勒住，糖糖总喊又酸又痛；包里的水杯、零食、备用衣物一股脑塞进去，要用时翻得乱七八糟。有次孩子背着装满物品的书包，爬坡时书包在背后晃来晃去，看得我心惊胆战的！后面我就做功课给糖糖换了德国戈撒驰护脊书包，她第一次背就感叹说“才知道徒步能这么轻松！”瞬间感觉功课没白做这款护脊书包后背隐藏刻度条从140cm-180cm随意调，也就是说可以根据孩子身高定制，感觉就是初中生书包里的“高”定包，完美适配孩子的成长节奏，从小学背到初中，出游、上学无缝切换，真正实现一包多用~这下就不用烦恼初中生书包选什么了，一个定制书包搞定。这书包的护脊设计也很到位，内置U型铝制支撑杆，搭配立体背板组成“护脊黄金搭档”，能够精准贴合孩子脊柱曲线，哪怕装满水和零食也不会挤压脊柱。而且四点支撑系统将重量巧妙分散到肩、腰、背、臀，只要正确背负，书包不仅像长在背上一样稳，经专业测试减负效果还能达到64.8%。这款护脊书包在细节上也是贴心度拉满：Y字形蜂窝网面+背垫中空凹槽设计透气不闷，徒步完后背还是清清爽爽的，完全没有汗津津的黏糊感。书包容量很大，足足有30L，主隔层+副隔层+侧兜+多功能收纳仓，分层设计超科学，收纳拿取超方便！出游时冲锋衣、野餐垫轻松容纳；上学时课本、作业以及他家同款大容量笔盒也能装得井井有条。周末糖糖去上中国舞课也会背这个书包，舞蹈服、舞鞋都能分区收纳，不用担心衣服被压皱、舞鞋和其他物品混在一起，真的特别实用！环保面料摸起来硬挺扎实，防水性还很好，遇到下雨也不怕。无论上学还是出游，孩子都值得拥有一款轻便能装、专业护脊的好书包，尽情享受无负担的成长时光✌️#Gotyasatch护脊书包[话题]##戈撒驰护脊书包[话题]##gotyasatch书包[话题]##戈撒驰书包[话题]##德国戈撒驰书包[话题]##小学生书包[话题]##护脊书包[话题]##大容量书包[话题]##护脊书包分享[话题]##初中生书包[话题]##大容量书包[话题]##高颜值书包[话题]##书包分享[话题]#</t>
  </si>
  <si>
    <t>lucky糖</t>
  </si>
  <si>
    <t>5cb6b5e00000000011015655</t>
  </si>
  <si>
    <t>福建</t>
  </si>
  <si>
    <t>2025-06-30 10:53:50</t>
  </si>
  <si>
    <t>https://www.xiaohongshu.com/user/profile/5cb6b5e00000000011015655?&amp;xsec_source=pc_note</t>
  </si>
  <si>
    <t>https://www.xiaohongshu.com/discovery/item/686213f1000000001c031a07?app_platform=android&amp;ignoreEngage=true&amp;app_version=8.47.0&amp;share_from_user_hidden=true&amp;xsec_source=app_share&amp;type=normal&amp;xsec_token=CBepcPxEIB7gbBLY5im--WcFkLFVuY0gZgLkX_oV75wyI=&amp;author_share=1</t>
  </si>
  <si>
    <t>6874b5cb0000000013010f7e</t>
  </si>
  <si>
    <t>小学生自用分享 | 弄清护脊书包的秘密</t>
  </si>
  <si>
    <t>一学期结束，我才发现多米最近又长高了！之前的书包都小了，刚好假期到了，有时间做下功课选一个适合她下学期背的书包。当然作为细心妈妈，除了书包的款式，我更关心的是如何选对护脊书包。毕竟五年级了，学习任务重，课本都越来越多了书包一重，娃总喊肩膀酸。背着书包走路时有点驼背，这体态让老母亲看得有点焦虑了，赶紧查资料，做了份护脊方案（图2）。根据选择护脊书包的重点，我最后入手的是德国品牌戈撒驰。让多米上学路上能保持挺拔身姿，不再弯腰驼背✅这款书包是可以根据身高进行定制的，140-180cm任意调节，也是给娃背上“高”定包了，而且当初中生书包都完全够，直接省了几个书包钱！ 内置U型铝制支撑杆，搭配上立体背板，像有双无形的手托着背，时刻给孩子支撑力。再加上四点承托设计，正确背负后，肩部+胸部+腰部形成多点受力，加宽加厚肩带、高弹背垫、加厚腰垫，全面包裹住孩子身体，将肩部重量分散到腰背部，肩膀自然就轻松多了，多米背上这个护脊书包后，身姿挺拔多了。✅30L大容量很适合我们小学高年级的小朋友，平时的作业、书本、水杯、雨伞都有相应的放置区域，翻找方便，装好后也不会重心不稳乱晃。背垫还是Y字形蜂窝网面和中空凹槽设计，夏天背也很清爽，一点都不闷汗。书包面料也是符合环保要求的，皮质拉链头非常的有质感，在品质这块儿属实细节感拉满！我们还入了配套笔袋，同样是颜值高+容量大！30支笔+橡皮、尺子随便放。昨晚多米突然说：“妈妈，我现在都有点想开学了。” 看着她背上新书包转来转去的样子，突然觉得选对一个护脊书包，不仅是护着她的脊柱，更是护着那份对上学的期待啊～学习状态也能轻松许多！当妈妈的我，也省心不少。[派对R][派对R]#Gotyasatch护脊书包[话题]#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</si>
  <si>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小狮子当当</t>
  </si>
  <si>
    <t>5cd5919c000000001601aa04</t>
  </si>
  <si>
    <t>2025-07-14 08:50:35</t>
  </si>
  <si>
    <t>https://www.xiaohongshu.com/user/profile/5cd5919c000000001601aa04?&amp;xsec_source=pc_note</t>
  </si>
  <si>
    <t>https://www.xiaohongshu.com/discovery/item/6874b5cb0000000013010f7e?app_platform=android&amp;ignoreEngage=true&amp;app_version=8.47.0&amp;share_from_user_hidden=true&amp;xsec_source=app_share&amp;type=normal&amp;xsec_token=CBqEcsQbAMDcIK66kbNAcTgf_jSjGxJ_roS3qJSGXa-do=&amp;author_share=1</t>
  </si>
  <si>
    <t>687f08ad000000001202c2e3</t>
  </si>
  <si>
    <t>六年级学霸女孩的开学装备｜少不了护脊书包</t>
  </si>
  <si>
    <t>“妈妈，我的书包自己会‘长高’啦！这样我就可以一直用到初中啦~”Amy兴奋地给我展示她的新书包，轻轻一推就能调节高度，[氛围感R]像变魔术一样！-这款戈撒驰护脊书包，是给 Amy 期末考了第一名的奖励。选它时，我第一眼就看中了它能根据身高定制。Amy 马上六年级，正处长个子关键期，固定尺寸的书包用不了多久就不合身。而这款书包背后有刻度条，能根据孩子身高在140-180cm之间任意调节，妥妥的“高” 定包，升初中也不用再挑新的初中生书包啦。​-光有调节功能还不够，孩子的学习需求也得满足。Amy 现在既要顾小学内容，还得准备初中学习规划，教辅一大堆，之前的书包早就装不下了。好在这款护脊书包有30L大容量，刚好能装下她所有的书本、学习机。-[赞R]最让我放心的是它的护脊设计。内置U型铝制支撑杆，模拟人体脊柱自然曲线，像温柔的手托住孩子脊柱。它和背板形成双层支撑结构，就算书包塞得满满当当，背部结构也稳如泰山，不会变形，自带四点支撑，将集中在肩部的压力分散到腰背部，减负效果能达64.8%，科学保护孩子正在发育的脊柱。-[哇R]Amy 喜欢这书包隔层多，收东西、找东西又快又方便。这书包确实是“收纳小能手”：两个主隔层分别放学习机、课本和练习册，还有文具和作业本，多功能仓放单词机或湿纸巾等，侧边口袋装水壶和雨伞。Amy再也不用翻得乱七八糟找各科课本了，做什么都比较有秩序，大大提升了她的学习效率。-✏️同系列大容量的笔袋也设计也非常合理，各种文具收纳的整整齐齐。而且这书包用的还是德国工艺环保面料，日常高频使用也不用太担心磨损。-[仙女R]书包前面有个可替换的标记带，Amy喜欢的小挂件也有地方安置了看来，一个好书包不仅是收纳工具，更是培养孩子秩序感的“小助手”。-当她主动整理书包、规划假期学习时，那种对学习的热情和掌控感，比任何说教都更有力量[耶R]~#Gotyasatch护脊书包[话题]##戈撒驰护脊书包[话题]##gotyasatch书包[话题]##戈撒驰书包[话题]##德国戈撒驰书包[话题]##戈撒驰高定护脊书包[话题]# #护脊书包测评[话题]# #护脊书包[话题]##大容量书包[话题]##护脊书包推荐[话题]#</t>
  </si>
  <si>
    <t>Amy是这样长大的</t>
  </si>
  <si>
    <t>59172c9950c4b41db43299e5</t>
  </si>
  <si>
    <t>吉林</t>
  </si>
  <si>
    <t>2025-07-22 06:52:39</t>
  </si>
  <si>
    <t>https://www.xiaohongshu.com/user/profile/59172c9950c4b41db43299e5?&amp;xsec_source=pc_note</t>
  </si>
  <si>
    <t>https://www.xiaohongshu.com/discovery/item/687f08ad000000001202c2e3?app_platform=android&amp;ignoreEngage=true&amp;app_version=8.47.0&amp;share_from_user_hidden=true&amp;xsec_source=app_share&amp;type=normal&amp;xsec_token=CBcmwSdrBEFQSlPQtE-mrJXz1CZdud-X8R_2H7IAOZKJk=&amp;author_share=1</t>
  </si>
  <si>
    <t>Gotyasatch护脊书包,戈撒驰护脊书包,gotyasatch书包,戈撒驰书包,德国戈撒驰书包,戈撒驰高定护脊书包,护脊书包测评,护脊书包,大容量书包,护脊书包推荐</t>
  </si>
  <si>
    <t>6895cd900000000023029547</t>
  </si>
  <si>
    <t>别忽视护脊书包的作用！选对和驼背说拜拜~</t>
  </si>
  <si>
    <t>儿子马上升四年级，我发现他背旧书包时总是无意识地弯腰驼背，肩膀也被勒出两道红印，忽然想起医生闺蜜说过，现在很多中小学生就是长期背负过重的书包导致了脊柱侧弯、肩部肌肉拉伤等问题。于是我立马决定给他换个护脊书包，连夜研究了十几款，入手了德国戈撒驰这个"脊柱守护者"1️⃣能"长高"的书包你见过吗他家护脊书包后背内侧暗藏玄机：隐藏身高刻度尺！从140到180cm自由调节，像这种按身高定制的书包就称它为“高”定包吧调节的方式很简单，一拉一堆，5秒就能完成"书包长高仪式"。而且因为是根据实际身高进行的调节，所以书包护脊减负的效果才不会打折扣。这个设计让我算了一笔账：用到毕业没问题，小升初还能当初中生书包用，不用频繁换，妥妥的长期投资！[偷笑R]2️⃣看得见的护脊黑科技大多数妈妈选书包可能找不到重点，容易忽略了重要的背负支撑系统。像戈撒驰内置有U型铝制支撑杆，让书包称重的时候不易变形，而且能让孩子不自觉挺直腰板，以前总爱弓着背的小树苗，现在走路都自带挺拔气场3️⃣减负≠减轻书包自重曾经我也陷入误区，觉得书包越轻越好。直到闺蜜点醒我：减负不是单纯减轻书包重量，而是要科学分散压力。戈撒驰通过肩扣、腰扣、胸扣，形成多点承托系统，把重量分散到腰部和背部。现在儿子背十斤书本和以前背三斤差不多，肩膀也没有被勒出红印4️⃣装得下整个世界，也装得下妈妈的细心普通书包找东西就像海底捞针，戈撒驰30L的大容量却藏着巧思：两个主隔层分区放书本和练习册，多功能收纳仓连颜料盘都能直立放置，侧边放水杯和雨伞，每个物品都有"专属座位"，孩子自己收拾书包井井有条。他家笔袋我也买了，容量很大很实用。除此之外，我还要照顾四年级娃的审美，还好他的评价是这书包太炫酷了！挺廓的包型自带高级感，还有一些可以自己DIY的小设计护脊这件事，从来不是小题大做，选对一款会"成长"的书包，就是为孩子的脊柱发育护航呀#Gotyasatch护脊书包[话题]# #戈撒驰护脊书包[话题]# #gotyasatch书包[话题]# #戈撒驰书包[话题]# #德国戈撒驰书包[话题]# #戈撒驰高定护脊书包[话题]##小学生书包[话题]# #护脊书包[话题]# #大容量书包[话题]# #护脊书包分享[话题]# #戈撒驰身高定制书包[话题]# #初中生书包[话题]# #高颜值书包[话题]# #书包分享[话题]#</t>
  </si>
  <si>
    <t>旺仔牛奶糖</t>
  </si>
  <si>
    <t>61ddaf9c00000000100043c9</t>
  </si>
  <si>
    <t>2025-08-09 02:55:26</t>
  </si>
  <si>
    <t>https://www.xiaohongshu.com/user/profile/61ddaf9c00000000100043c9?&amp;xsec_source=pc_note</t>
  </si>
  <si>
    <t>https://www.xiaohongshu.com/discovery/item/6895cd900000000023029547?app_platform=android&amp;ignoreEngage=true&amp;app_version=8.47.0&amp;share_from_user_hidden=true&amp;xsec_source=app_share&amp;type=normal&amp;xsec_token=CBnjRxmTkdR3m3KskfN9ZuNc9VlQyabUeZ0oaYyVyo6P4=&amp;author_share=1</t>
  </si>
  <si>
    <t>Gotyasatch护脊书包,戈撒驰护脊书包,gotyasatch书包,戈撒驰书包,德国戈撒驰书包,戈撒驰高定护脊书包,小学生书包,护脊书包,大容量书包,护脊书包分享,戈撒驰身高定制书包,初中生书包,高颜值书包,书包分享</t>
  </si>
  <si>
    <t>68955cac000000002301a86a</t>
  </si>
  <si>
    <t>初中生书包怎么选❓应对成长发育困扰</t>
  </si>
  <si>
    <t>乔大马上就要小升初了，原来孩子长大就是一瞬间的事情。旧书包背着已经不太合身了，一放暑假就开始给他选初中生书包。考虑到这个阶段的孩子发育特别快，再加上初中学科增多，书本变厚，我决定给他选一款合适的护脊书包。有经验的家长给我分享了选购要点：适配孩子成长多阶段、科学减负设计、大容量。我对比了几款市面上比较火的书包，最后入了戈撒驰护脊书包，深入研究了各方面细节，今天必须分享给大家！-身高定制，承包成长每一步乔大进入小学高年级后，身高就开始猛猛窜！这款书包设有身高刻度尺，可以根据孩子实际身高在140-180cm区间随意调，这样不管孩子多高都能保持zui佳背负舒适度。像这样可以跟着孩子“长高”的书包，不就是“高”定包嘛~轻松解决成长需求，再也不用年年换，省心又省～-减负护脊，守护脊柱健康妈妈们关注的点它全拿捏！护脊不是噱头，而是实打实的结构：U型铝制支撑杆+3D高弹背板，贴合脊柱曲线，提供稳稳支撑力；减负更不是空谈，专业数据说话：正确背负后减负达64.8%。哪怕装满书本，孩子背上它也能轻松挺直腰背，长时间背负不会喊累，整个人体态都变好了-容量细节，实用又讨喜✅这款书包是30L的大容量，而且分区收纳很合理，书本、作业、练习册等放主隔层，校园卡、饭卡等放多功能袋，拿取超方便，再也不是把东西都从书包里倒出来才能找到东西了~侧兜深，放水杯不易掉；他家大容量笔袋我也入了，耐压不变形，孩子文具再多也能随便装~✅手提带比一般的厚实，拎着不勒手✅面料摸起来扎实硬挺，还没装书时书包整体看起来也很挺廓。而且也耐磨，日常使用时的小摩擦不会留下痕迹，感觉可以用很久✅傍晚、阴天出行，包身的反光条设计超显眼，大大提升孩子在路上的安全✅背垫是网面设计，现在30多度的高温，乔大背着书包到图书馆，后面不会被汗湿，也就不用担心穿着汗湿的衣服吹空调会着凉啦。给孩子选它，就是选靠谱！#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</si>
  <si>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乔大乔二亲子日记</t>
  </si>
  <si>
    <t>59db84c3de5fb4489fedfd57</t>
  </si>
  <si>
    <t>2025-08-08 03:00:43</t>
  </si>
  <si>
    <t>https://www.xiaohongshu.com/user/profile/59db84c3de5fb4489fedfd57?&amp;xsec_source=pc_note</t>
  </si>
  <si>
    <t>https://www.xiaohongshu.com/discovery/item/68955cac000000002301a86a?app_platform=android&amp;ignoreEngage=true&amp;app_version=8.47.0&amp;share_from_user_hidden=true&amp;xsec_source=app_share&amp;type=normal&amp;xsec_token=CBnjRxmTkdR3m3KskfN9ZuNcpfcEd_PL-g714mCc3dDr4=&amp;author_share=1</t>
  </si>
  <si>
    <t>688369e90000000013011dd0</t>
  </si>
  <si>
    <t>升学攻略书包篇丨护脊书包这样选✅</t>
  </si>
  <si>
    <t>作为一路陪着孩子成长的父母我们心里都清楚孩子的成长里，学习成绩要好，身体更得棒棒的！而脊柱这根 “顶梁柱” 太关键了它不光决定着孩子能不能有挺拔的体态，还影响着骨骼发育像我家Tiffany马上就要上六年级了书包是一年比一年的重看着她背上书包后弯腰驼背的样子老母亲我心揪起来了！不好的背负习惯真的伤人长期背着沉书包，脊柱可能就不直了不光会含胸、高低肩以后还可能落下腰疼、椎间盘突出的毛病趁现在是暑假，我赶紧把护脊书包安排到位做了很多功课，我看上了戈撒驰护脊书包身高定制+科学减负+容量设计都很nice现在孩子正处在快速发育期，正是蹿个子的时候这款书包内侧隐藏的身高刻度尺，140-180cm随意调节书包跟着孩子个子“长”，根据身高定制，妥妥的“高”定包这下即使上初中也不用换书包啦~而且它的减重也不是随便说说U型铝制支撑杆能贴合孩子的背部曲线，支撑力也好正确背负后，能把集中在肩部的重量分散到腰背不会下坠拉扯孩子的身体分层设计也挺好，课本、水杯啥的都能放得整整齐齐还是35L扩容设计，随便装~顺道说一句，它的配套的笔盒也跟书包一样能装！面料耐磨耐造，还符合环保要求，这点真的很赞！Tiffany 背上后，背一下子就挺直了还跟我说背着可舒服了，后背有支撑感，不压肩膀看着孩子这样，我这心里踏实多了其实选护脊书包这事儿，真得方方面面都想到耐用不耐用、实不实用都很重要，毕竟是给孩子天天用的戈撒驰这款各方面都挺合我心意的，也是考虑了好久才定下来为了孩子的脊柱健康，选对护脊书包太关键了！#Gotyasatch护脊书包[话题]##戈撒驰护脊书包[话题]##gotyasatch书包[话题]##戈撒驰书包[话题]##德国戈撒驰书包[话题]##小学生书包[话题]##护脊书包[话题]##大容量书包[话题]##护脊书包分享[话题]##初中生书包[话题]##高颜值书包[话题]##书包分享[话题]##戈撒驰高定护脊书包[话题]##戈撒驰身高定制书包[话题]##健康生活[话题]#暑假生活#妈妈经验分享[话题]##家有小学生[话题]#</t>
  </si>
  <si>
    <t>Tiffany妈咪</t>
  </si>
  <si>
    <t>63411c89000000001802ec83</t>
  </si>
  <si>
    <t>2025-07-26 05:34:26</t>
  </si>
  <si>
    <t>https://www.xiaohongshu.com/user/profile/63411c89000000001802ec83?&amp;xsec_source=pc_note</t>
  </si>
  <si>
    <t>https://www.xiaohongshu.com/discovery/item/688369e90000000013011dd0?app_platform=android&amp;ignoreEngage=true&amp;app_version=8.47.0&amp;share_from_user_hidden=true&amp;xsec_source=app_share&amp;type=video&amp;xsec_token=CBuSUtunJk9YTYeP1cz6p25uc63hXuLH1h8o75Ch02KZE=&amp;author_share=1</t>
  </si>
  <si>
    <t>Gotyasatch护脊书包,戈撒驰护脊书包,gotyasatch书包,戈撒驰书包,德国戈撒驰书包,小学生书包,护脊书包,大容量书包,护脊书包分享,初中生书包,高颜值书包,书包分享,戈撒驰高定护脊书包,戈撒驰身高定制书包,健康生活,妈妈经验分享,家有小学生</t>
  </si>
  <si>
    <t>68968a000000000005008d00</t>
  </si>
  <si>
    <t>育婴师支招：护脊书包规避孩子体态坑</t>
  </si>
  <si>
    <t>作为育婴师，见过太多家长虽然时刻围着娃转，却忽视了孩子背上越来越重的“龟壳”。正处发育黄金期的孩子，每天背5-10公斤书本，对稚嫩脊柱伤害极大（见图2️⃣）.普通书包难以负担孩子日益增重的书本，所以建议给孩子换护脊书包！但市面的护脊书包这么多，应该怎么挑呢？大家可以参考这几点（见图3️⃣）.我家孩子现在背的是德国戈撒驰护脊书包！当初之所以选它，主要是因为以下这四个方面.★身高定制.如果书包不合身，护脊设计再好都白搭！戈撒驰内侧有身高刻度尺，从140cm-180cm随意调，这不就是“高”定包嘛哈哈。不管娃长多快，都能贴合孩子身形，到了初中还能直接当初中生书包用.★科学护脊.这款护脊书包有IGR认证，用的U型铝制支撑杆，不仅贴合孩子的脊柱曲线，还能吸收书包内部的撞击力，有效保护脊柱，再搭配上3D透气背板，又软又有支撑，孩子说这段时间天天30多度背上也不闷，背很舒服~.★减负64.8%.有些家长认为：书包自重轻=背着轻⁉️其实不是的，很多自重轻的书包后背没有支撑，多装点东西书负重感就很明显，孩子背起来反而更累。而戈撒驰通过多点承托，让肩膀、背部、腰部共同发力，10斤书包背着像3斤多，孩子背起更轻松，腰背自然就挺直了。.★大容量&amp;分层多.这款护脊书包是扩容设计，日常30L：主隔层放课本资料，副隔层塞错题本和试卷，多功能仓和侧袋分类放小物件，笔和尺子装在配套的大容量笔袋里，如果遇到需要额外带东西的课程时，扩容拉链一拉秒变35L！还有个前袋能放衣服、球类，真正做到了科学收纳，这下娃就不用找东西的时候满书包乱翻啦~.除了实用性，这款护脊书包的外观也很亮眼！德国原创设计，颜色款式多，娃随便挑～用的也是耐磨防水的环保面料，还有360°反光条设计，夜晚出行安全感拉满~趁现在是暑假，大家快给娃安排上吧，开学就可以不用“负重前行”啦！.#戈撒驰高定护脊书包[话题]# #小学生书包[话题]# #护脊书包[话题]# #大容量书包[话题]# #护脊书包分享[话题]# #初中生书包[话题]# #高颜值书包[话题]# #书包分享[话题]# #戈撒驰身高定制书包[话题]##Gotyasatch护脊书包[话题]#</t>
  </si>
  <si>
    <t>草莓味少女糖</t>
  </si>
  <si>
    <t>5a1a847d4eacab2d0ae6d7b0</t>
  </si>
  <si>
    <t>2025-08-09 09:36:24</t>
  </si>
  <si>
    <t>https://www.xiaohongshu.com/user/profile/5a1a847d4eacab2d0ae6d7b0?&amp;xsec_source=pc_note</t>
  </si>
  <si>
    <t>https://www.xiaohongshu.com/discovery/item/68968a000000000005008d00?app_platform=android&amp;ignoreEngage=true&amp;app_version=8.47.0&amp;share_from_user_hidden=true&amp;xsec_source=app_share&amp;type=normal&amp;xsec_token=CBxGf_rpqAUvplLBSq44FQhp8cdm6zdjXByD7DgKFqjQY=&amp;author_share=1</t>
  </si>
  <si>
    <t>6895cd50000000002203b054</t>
  </si>
  <si>
    <t>孩子高低肩，驼背可能是初中生书包没选对！</t>
  </si>
  <si>
    <t>之前陪孩子去图书馆，发现她埋头刷题时后背紧绷成C形，走路脖子前倾+高低肩，看得我心头一紧！后来发现，她书包太重了，背上会不自觉驼背，身子往前倾，肩膀上全是肩带勒出的红印 ——闺蜜说：换个轻点的护脊书包就行了。其实真不是这么回事，有些书包看着轻，后背没支撑，装了书本重量压下来，负重感反而特别明显，身体被往下拽，为了平衡，不知不觉就往前倾。孩子的脊柱正在发育，长期这样不仅影响体态，还会影响身体健康。所以要选择真正能减负的护脊书包，不是靠自身轻，关键是看有没有实在的减负设计 ！✨作为初中生书包，我给孩子换的这款戈撒驰护脊书包，为什么值得推荐！✅独研身高定制系统：背部隐藏身高刻度，身高在140-180cm随意调节，妥妥的“高”定包。随着孩子长高调节刻度，书包始终适配孩子的身形，真正做到“动态护脊”，很适合个子长得快的初中生 ‍✅U型铝制支撑杆：模拟人体脊柱曲线，结合背板稳稳托住后背，书包再沉也不变形、不压脊柱，辅助孩子挺直腰背 。✅多点承托减负：肩带+胸带+腰带协同发力，把书包重量均匀分散到腰背，不让肩膀单独“扛重担”而且固定后书包跟着孩子的动作走，不会晃来晃去增加额外负担！孩子背得稳、不费劲，这才是真减负啊！她背了一上午，没喊过肩膀疼，走路挺胸抬头，精气神十足 。✅35L扩容大容量+分区收纳：书本、作业、试卷、水杯分区分类装，拿取方便还能告别“一侧偏重”的折磨！前袋打开能放衣服，实用又贴心。还有配套的笔袋，分类收纳文具✏✅环保面料+安全护航：德国工艺，面料扎实抗造，而且还比较防水，像最近总是下雨，有几天没时间去接孩子，她自己回家衣服有时候会被打湿一些，但是书包里的书从来都没受到影响还有反光条的设计也很贴心，晚上灯照着一眼就能看到 。一个好的护脊书包不止是装书的袋子那么简单。它是孩子每天上学路上的“隐形守护者”，选对书包让孩子轻装上阵，健康成长吧！#Gotyasatch护脊书包[话题]# #戈撒驰护脊书包[话题]# #gotyasatch书包[话题]# #戈撒驰身高定制书包[话题]# #戈撒驰书包[话题]# #德国戈撒驰书包[话题]# #小学生书包[话题]# #护脊书包[话题]# #大容量书包[话题]# #护脊书包分享[话题]# #初中生书包[话题]# #戈撒驰高定护脊书包[话题]# #高颜值书包[话题]# #书包分享[话题]#</t>
  </si>
  <si>
    <t>cc真甜呀。</t>
  </si>
  <si>
    <t>642fbd5600000000120111cf</t>
  </si>
  <si>
    <t>2025-08-08 10:23:17</t>
  </si>
  <si>
    <t>https://www.xiaohongshu.com/user/profile/642fbd5600000000120111cf?&amp;xsec_source=pc_note</t>
  </si>
  <si>
    <t>https://www.xiaohongshu.com/discovery/item/6895cd50000000002203b054?app_platform=android&amp;ignoreEngage=true&amp;app_version=8.47.0&amp;share_from_user_hidden=true&amp;xsec_source=app_share&amp;type=normal&amp;xsec_token=CBnjRxmTkdR3m3KskfN9ZuNc3dviPMNZ_qIz_ybUwFMAQ=&amp;author_share=1</t>
  </si>
  <si>
    <t>Gotyasatch护脊书包,戈撒驰护脊书包,gotyasatch书包,戈撒驰身高定制书包,戈撒驰书包,德国戈撒驰书包,小学生书包,护脊书包,大容量书包,护脊书包分享,初中生书包,戈撒驰高定护脊书包,高颜值书包,书包分享</t>
  </si>
  <si>
    <t>68a558f9000000001c00a0d5</t>
  </si>
  <si>
    <t>小学生开学好物，省心实用没有废物</t>
  </si>
  <si>
    <t>开学倒计时⏳，超实用的开学好物清单来咯每一件都是自用整理出来的，省心实用没有废物‍♀️书包乐宝上六年级，书包太沉了，选护脊书包我更看重护脊和减负原理，戈撒驰护脊书包就特别合适它后背内侧有身高刻度，140-180cm可调，调好后贴腰不晃，孩子上初中也能背。U型铝制支撑杆+背板稳稳托住后背，书包再沉也不变形、不压脊柱，多点承托设计有效减负64.8%，十斤书包背着像三斤多35L扩容大容量，分区很多，而且是环保面料，反光条面积大更安全，侧边袋有防盗锁扣拉链，手提带厚实不勒手，细节很贴心错题打印机错题打印机自带摄像头框选错题。5-8秒就能拍题打印。字迹清、背面带胶，还能一键去手写反复练，无墨打印，热敏纸不含双酚A和荧光剂丙烯马克笔这款是直液式丙烯马克笔，7g大墨仓太能打了，一支顶普通笔六支用～颜色都是按NCS科学选的，墨水鲜艳饱和也不会透纸，笔头是新的纳威尔专业软头，耐磨还不开叉，也很容易清洗彩铅一定要买按动出芯的彩铅，真的太好用了，主要不脏手，还是可擦的，画错或者写错用橡皮就能擦干净，而且色彩饱和度比普通彩铅高很多，还不易断铅水杯给乐宝准备了一个保温的，这款有三种喝法：直饮口/吸管口/分享杯，食品级硅胶吸嘴，保温效果好，还配了一个杯套方便携带⚪书皮书皮每年都要买，这个磨砂书皮轻松粘，安全任何异味，哑光材质不会有反光问题，也不用裁剪，可反复粘贴，防水防污的，对新手妈妈很友好铅笔回购款了，这次入小白杆和小绿杆，都是0重金属0铅毒，笔芯不外露，沾顶工艺，防儿童啃咬，写起来也不容易断铅，非常好用顺滑橡皮擦小方块橡皮擦TPE材质擦字干净，一擦成线，大中小三种尺寸，重点是安全无邻苯。还有按动橡皮笔，尖尖的橡皮头能精准擦除单个偏旁和数字，用完了还有替换芯全自动削笔器给娃选削笔器一定要选全自动的，太省事！这款6.5-11.5mm粗细的笔都能用，三档笔尖粗细随意调，充电款的，插入即削，家长超省心⚫️尺子套装硅胶防滑直尺，放桌面不打滑，画线可辅助按压，线条笔直不歪，不易折断，尺寸刚好能装笔袋，用着顺手#Gotyasatch护脊书包[话题]# #戈撒驰护脊书包[话题]# #大容量书包[话题]# #学习好物[话题]# #开学好物[话题]#  #错题机[话题]# #彩铅[话题]# #丙烯马克笔[话题]#</t>
  </si>
  <si>
    <t>2025-08-23 00:01:18</t>
  </si>
  <si>
    <t>https://www.xiaohongshu.com/discovery/item/68a558f9000000001c00a0d5?app_platform=android&amp;ignoreEngage=true&amp;app_version=8.47.0&amp;share_from_user_hidden=true&amp;xsec_source=app_share&amp;type=normal&amp;xsec_token=CB6RH0H3Lk1AARmN7PfvzW-zgpes6dpVT-1-kJKX8lkS4=&amp;author_share=1</t>
  </si>
  <si>
    <t>Gotyasatch护脊书包,戈撒驰护脊书包,大容量书包,学习好物,开学好物,错题机,彩铅,丙烯马克笔</t>
  </si>
  <si>
    <t>68785cf8000000001c03728f</t>
  </si>
  <si>
    <t>初中生书包是买便宜的还是贵的呀？</t>
  </si>
  <si>
    <t>[看R]家里初中生，个子蹿得是真快。书包去年买的时候明明正合适，这才一年，背着就像挂个松垮布袋，肩带勒在腋下，看着都费劲。[星R]算了笔账：普通书包一两百一个，明年不合适再换，看着不心疼。可初中三年至少换两三个，加起来也好几百了。[打卡R]做功课刷到戈撒驰，说书包能跟着身高调，用到毕业没问题，但价格够买四五个普通书包。[红色心形R]这账越算越糊涂：是花小钱频繁换，还是一次多花点买个可调节的？┄┄┄┄┄┄┄┄┄┄┄┄┄┄┄┄┄┄┄┄┄┄┄感谢大家的建议！确实，便宜也有耐用的，而且孩子喜好变得快，换也不心疼。但我儿子现在上初中，学业重、书包沉，背是一天比一天驼。青春期是脊柱发育关键期，长期负重会影响体态，所以才想给他换个好点的书包。虽然养育孩子没有标准答案，但我一直觉得，在能力范围内，要给孩子最好的。#初中生书包[话题]# #护脊书包[话题]# #Gotyasatch护脊书包[话题]#  #选书包[话题]# #开学必备[话题]# #适合学生党的双肩包[话题]#</t>
  </si>
  <si>
    <t>伊达生活笔记</t>
  </si>
  <si>
    <t>5a6421f14eacab37873bf2c6</t>
  </si>
  <si>
    <t>2025-07-17 08:49:47</t>
  </si>
  <si>
    <t>https://www.xiaohongshu.com/user/profile/5a6421f14eacab37873bf2c6?&amp;xsec_source=pc_note</t>
  </si>
  <si>
    <t>https://www.xiaohongshu.com/discovery/item/68785cf8000000001c03728f?app_platform=android&amp;ignoreEngage=true&amp;app_version=8.47.0&amp;share_from_user_hidden=true&amp;xsec_source=app_share&amp;type=normal&amp;xsec_token=CBvjpg6Sl1El93_nyLD_oxI5zGgVhF9DqTKeJJE7ZhNx0=&amp;author_share=1</t>
  </si>
  <si>
    <t>初中生书包,护脊书包,Gotyasatch护脊书包,选书包,开学必备,适合学生党的双肩包</t>
  </si>
  <si>
    <t>689d59b5000000001d00288e</t>
  </si>
  <si>
    <t>11成熟小孩姐开箱初中生书包|实测二选一</t>
  </si>
  <si>
    <t>闺蜜快要过生日了，我在纠结送什么要挑一个既好看又实用的礼物突然想到上次和闺蜜出门，她说现在这个书包多装点书就背着不舒服，所以思来想去准备给她选个背起来舒服的初中生书包而且要大容量，不仅能上学背，我们一起旅游时也能背在网上搜了很久，最终锁定了热门的戈撒驰和贝克曼的护脊书包我将从身高定制、护脊减负、容量收纳、颜值等方面进行严格筛选！（大家猜哪款会通过我的严选呢？ ）戈撒驰身高定制：内藏身高刻度，140-180cm随意调，在这个区间内的身高都能背哦四舍五入也算给闺蜜送了个“高”定包哈哈~背到高中毕业都没问题！减负效果：闺蜜说以前的书包只要背的东西稍微多一点，肩膀就感觉不是自己的了！但戈撒驰有U型铝制支撑杆，符合人体工学设计，更贴合脊柱曲线，常用物品装进去后感觉很轻，肩膀也不会痛！容量收纳：30L+5L的扩容设计，作为初中生书包够用了！课本资料、防晒纸巾小零食随便装，前袋还能放防晒衣！我还get了配套的大容量笔袋！颜值方面：这款护脊书包是德国原创设计，款式多颜色也多，我凭着对闺蜜的了解，给她挑了一款粉红色的，背出门回头率拿捏了~贝克曼也有护脊铝支架，容量35L，总体还不错因为是送给闺蜜的，综合考虑下还是选择了戈撒驰护脊书包！我已经想象到闺蜜背上这款书包的样子了除了当做礼物送朋友，大家在开学前也可以给自己安排一个这样的书包哦#Gotyasatch护脊书包[话题]# #戈撒驰护脊书包[话题]# #gotyasatch书包[话题]# #戈撒驰高定护脊书包[话题]# #戈撒驰身高定制书包[话题]# #戈撒驰书包[话题]# #德国戈撒驰书包[话题]##护脊书包[话题]# #大容量书包[话题]# #初中生书包[话题]#</t>
  </si>
  <si>
    <t>酷酷的洛米（连赞拉黑版）</t>
  </si>
  <si>
    <t>61e6a6020000000021029508</t>
  </si>
  <si>
    <t>陕西</t>
  </si>
  <si>
    <t>2025-08-14 05:08:12</t>
  </si>
  <si>
    <t>https://www.xiaohongshu.com/user/profile/61e6a6020000000021029508?&amp;xsec_source=pc_note</t>
  </si>
  <si>
    <t>https://www.xiaohongshu.com/discovery/item/689d59b5000000001d00288e?app_platform=android&amp;ignoreEngage=true&amp;app_version=8.47.0&amp;share_from_user_hidden=true&amp;xsec_source=app_share&amp;type=video&amp;xsec_token=CB78Ke9IO5EK4MEaA0djt3BB2N96AMDKlaJuiZDPJuwGM=&amp;author_share=1</t>
  </si>
  <si>
    <t>Gotyasatch护脊书包,戈撒驰护脊书包,gotyasatch书包,戈撒驰高定护脊书包,戈撒驰身高定制书包,戈撒驰书包,德国戈撒驰书包,护脊书包,大容量书包,初中生书包</t>
  </si>
  <si>
    <t>6861fb3b000000002201e57e</t>
  </si>
  <si>
    <r>
      <rPr>
        <sz val="11"/>
        <color theme="1"/>
        <rFont val="Segoe UI Emoji"/>
        <charset val="134"/>
      </rPr>
      <t>✨</t>
    </r>
    <r>
      <rPr>
        <sz val="11"/>
        <color theme="1"/>
        <rFont val="微软雅黑"/>
        <charset val="134"/>
      </rPr>
      <t>拆箱实录！挖到“高”定初中生书包啦～</t>
    </r>
  </si>
  <si>
    <t>当恺恺小升初考完最后一科冲进家门，老母亲直接准备了“拆箱解压局”！最大的快递里藏着他初中的新装备——德国戈撒驰护脊书包，一拆开他就惊呼：“这颜值也太酷了吧！” 棋盘格设计+经典黑白配色，完全在孩子的审美上～当然，除了颜值，我选择这款书包的重要原因还是在于它的护脊减负科技！其实我前前后后看了许多初中生书包，做功课后发现对于正在成长中的孩子来来说，普通的书包只能满足简单的收纳、承重，并不能减轻背部的负担，背久了还可能导致孩子脊柱侧弯，为了他的健康考虑我果断入手了这款护脊书包，开箱后我俩都没有失望！不愧是得过三次红点奖的产品这个年龄段的孩子成长速度快，它后背内侧有身高刻度，从140cm-180cm根据身高定制合适的高度，不用担心“蹿个儿”后没法儿背，同时也保证了背负舒适感不受影响，我俩同时感叹这不就是“高”定包！太人性化了！它内置的U型铝制支撑杆，贴合背部曲线，像双手托住孩子的脊柱，防止书包压迫脊柱！恺恺在线实测，通过正确的方式背负，10斤的书包比平时轻了不止一半，而且背上去没有含胸驼背。看来真正的护脊书包主要还是看上身之后体感重量是否轻，而不是拿在手上轻的就能护脊。减负的原理也不复杂，因为书包是四点支撑的，不会让压力全部集中到肩部，背起来就更轻松。除此之外，加宽肩带+胸腰双扣也值得夸！装满书不晃肩，3D蜂窝背垫夏天背也不闷汗 35L扩大容量超能装，恺恺的现在所有的书 、作业、水杯、文具轻松收纳，足球都能塞前袋！面料很好很耐磨，像我家恺恺用东西比较费，这个品质我很放心～真是宝藏级初中生书包！所以同款大容量好收纳的笔盒我也果断给恺恺入手了一个恺恺试背完直喊：“初中背这个，同学肯定追着要链接！” 老母亲表示：护脊+颜值+容量全在线，这波开箱值了如果你家也有个小升初的娃，这款初中生书包真推荐试试~#小学生日常[话题]# #护脊书包[话题]# #开学好物[话题]##Gotyasatch护脊书包[话题]#、#戈撒驰护脊书包[话题]#、#gotyasatch书包[话题]#、#戈撒驰书包[话题]#、#德国戈撒驰书包[话题]#、#小学生书包[话题]#、#大容量书包[话题]#、#护脊书包分享[话题]#、#初中生书包[话题]##高颜值书包[话题]#、#书包分享[话题]# #护脊书包初中生[话题]#</t>
  </si>
  <si>
    <t>我是彤彤妈妈</t>
  </si>
  <si>
    <t>63fdaf28000000002a0096c6</t>
  </si>
  <si>
    <t>2025-06-30 03:32:12</t>
  </si>
  <si>
    <t>https://www.xiaohongshu.com/user/profile/63fdaf28000000002a0096c6?&amp;xsec_source=pc_note</t>
  </si>
  <si>
    <t>https://www.xiaohongshu.com/discovery/item/6861fb3b000000002201e57e?app_platform=android&amp;ignoreEngage=true&amp;app_version=8.47.0&amp;share_from_user_hidden=true&amp;xsec_source=app_share&amp;type=video&amp;xsec_token=CBK6GithoaR7vYJE526FiB-Ipx7bOIS-ctl_VkDKMkDFk=&amp;author_share=1</t>
  </si>
  <si>
    <t>小学生日常,护脊书包,开学好物,Gotyasatch护脊书包,戈撒驰护脊书包,gotyasatch书包,戈撒驰书包,德国戈撒驰书包,小学生书包,大容量书包,护脊书包分享,初中生书包,高颜值书包,书包分享,护脊书包初中生</t>
  </si>
  <si>
    <t>6861fd9c000000002201f51e</t>
  </si>
  <si>
    <t>选错书包＝害脊椎！护脊书包不是智商税</t>
  </si>
  <si>
    <t>家长们别再忽视⚠️孩子的驼背、高低肩可能都是普通书包害的孩子的脊柱就像没长结实的小树，骨头软、肌肉力量弱，最怕长时间重压。每天塞满书本的普通书包，细细的肩带勒得肩膀发红，没有支撑的背板紧贴后背，所有重量全压在肩膀和脊椎上。久而久之，孩子的后背就像被重物压歪的小树，慢慢驼起来，肩膀也变得一边高一边低。​很多家长以为书包越轻越好，其实这是误区❌那些轻飘飘却没有支撑点的书包，一旦装的书变多，书包会往下垂孩子因为长期包重导致身体前倾，反而更容易让孩子驼背！想要孩子身姿挺拔、健康长大，选对一款合适的护脊书包是关键‼️我做了超多功课，才挖到了戈撒驰护脊书包这个宝藏！毕竟身高可定制我看其它书包可是做不到的，这个书包后背有身高刻度，从140cm到180cm随便调，简直是“高”定包嘛，感觉从小学用到初高中都没问题~内置U型铝制支撑杆+背垫，就像给孩子的后背装了隐形支架，把压力均匀分散开，缓冲书本晃动带来的冲击，再也不用担心书包压着脊柱了！这才是真正的科学减负——不靠减轻书包重量，而是用专业设计把压力转移！孩子现在放学回来都说肩膀、后背一点不累，坚持背了几个月，背都挺起来了～而且哦这个护脊书包还是35L可扩容的，超能装！我家孩子上五年级，书本、作业、文具一股脑塞进去都还有空位。还有个多功能收纳仓，钥匙、钱包、魔方都能分门别类放好，再也不用翻得书包一团乱。侧边能放水杯、雨伞，哪天书多拉开扩容拉链就能继续装​~德国工艺确实很不错，面料摸起来扎实很抗造，用了几个月还跟新的一样。真心建议各位家长，别等孩子脊柱出问题才后悔！趁着开学，不管你是想买小学生书包，还是初中生书包，都赶紧给孩子换上这个靠谱的护脊书包，毕竟孩子舒服，我们当家长的才能安心啊！#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#脊柱侧弯预警[话题]# #育儿师实测[话题]# #青少年体态管理[话题]# #戈撒驰高定护脊书包[话题]#</t>
  </si>
  <si>
    <t>果儿的小柠檬</t>
  </si>
  <si>
    <t>64c3c10f000000000e0249f9</t>
  </si>
  <si>
    <t>2025-06-30 04:01:15</t>
  </si>
  <si>
    <t>https://www.xiaohongshu.com/user/profile/64c3c10f000000000e0249f9?&amp;xsec_source=pc_note</t>
  </si>
  <si>
    <t>https://www.xiaohongshu.com/discovery/item/6861fd9c000000002201f51e?app_platform=android&amp;ignoreEngage=true&amp;app_version=8.47.0&amp;share_from_user_hidden=true&amp;xsec_source=app_share&amp;type=video&amp;xsec_token=CBK6GithoaR7vYJE526FiB-K1_V8W3bGWwxqChjHb39m0=&amp;author_share=1</t>
  </si>
  <si>
    <t>Gotyasatch护脊书包,戈撒驰护脊书包,gotyasatch书包,戈撒驰书包,德国戈撒驰书包,小学生书包,护脊书包,大容量书包,护脊书包分享,初中生书包,高颜值书包,书包分享,脊柱侧弯预警,育儿师实测,青少年体态管理,戈撒驰高定护脊书包</t>
  </si>
  <si>
    <t>6895927c0000000025013d0a</t>
  </si>
  <si>
    <t>护脊书包选购必看经验妈妈“血泪史”</t>
  </si>
  <si>
    <t>之前我一直以为护脊书包和普通书包差别不大，能背不就行了但现实狠狠“打脸”我家姐姐一、二年级背的都是普通书包，没觉得不妥但三年级后，学习压力增大，书包变重，她背书包时变得有点驼背这立刻给我“敲响警钟”，孩子正处成长黄金期，健康护脊得摆在第☝️位连夜做功课选了戈撒驰护脊书包，才发现护脊书包是真有实力！——我先给大家分享选护脊书包的雷区，新手妈妈千万别碰！❌不是越轻的书包就越好，关键是要弄清楚减负原理❌不要选容量太小的，不然到高年级就不够用了❌不能只看能不能减负，还需要看减负效果如何——拿我家姐姐现在用的这款戈撒驰护脊书包说吧它有个身高刻度尺，在140-180cm范围内随意调，妥妥的“高”定包。我家姐姐现在145，就调到对应的位置，背负刚刚好，等以后长高了对应调刻度，背负舒适度一直在线，真正做到了让书包适配身体，而不是让身体迁就书包再分享一个冷知识！真正的减负不是让重量无故消失就像戈撒驰是通过减负设计让聚焦在肩部的重量分散到腰背部！，减轻了肩膀的负重感而且这款书包用的是U型铝制支撑杆+3D透气背板的设计温柔贴合孩子脊柱曲线，吸收撞击力起到保护的作用从姐姐现在不揉肩膀、不喊累了的状态我就知道64.8%的减负效果一点都没虚报！而且这款书包当初中生书包用也够35L大容量还有多个分层❗️除了装日常的课本、资料、配套的大容量笔袋外前袋拉开还能放羽毛球拍、外套侧兜放水杯，小物件就收纳到多功能袋中有时候多带本词典，扩容拉链一开就装下现在让姐姐收拾书包都从任务变成了顺手的事~不仅如此，书包面料质量也很好，平时的小剐蹭都没事儿，我相信用几年是没问题滴综合体验下来，戈撒驰护脊书包真是书包中的扛把子!新学期新书包，选它：孩子喜欢、家长安心#Gotyasatch护脊书包[话题]##戈撒驰护脊书包[话题]##gotyasatch书包[话题]##戈撒驰书包[话题]##德国戈撒驰书包[话题]##小学生书包[话题]##护脊书包[话题]##大容量书包[话题]##护脊书包分享[话题]##初中生书包[话题]##高颜值书包[话题]##书包分享[话题]##戈撒驰高定护脊书包[话题]##戈撒驰身高定制书包[话题]#</t>
  </si>
  <si>
    <t>Yu</t>
  </si>
  <si>
    <t>5b0263fbe8ac2b5404421f40</t>
  </si>
  <si>
    <t>2025-08-08 07:10:19</t>
  </si>
  <si>
    <t>https://www.xiaohongshu.com/user/profile/5b0263fbe8ac2b5404421f40?&amp;xsec_source=pc_note</t>
  </si>
  <si>
    <t>https://www.xiaohongshu.com/discovery/item/6895927c0000000025013d0a?app_platform=android&amp;ignoreEngage=true&amp;app_version=8.47.0&amp;share_from_user_hidden=true&amp;xsec_source=app_share&amp;type=normal&amp;xsec_token=CBnjRxmTkdR3m3KskfN9ZuNYLJgiSxdka33Ldx6TouRdk=&amp;author_share=1</t>
  </si>
  <si>
    <t>687b715b000000001203cf1c</t>
  </si>
  <si>
    <t>护脊书包超强攻略｜这波我赢麻了！</t>
  </si>
  <si>
    <t>现在的孩子学习任务越来越重，书包越来越沉，娃每天回来都吐槽肩膀疼！而且时间较久了体态还差，弯腰驼背…真是妈见愁！小学是成长黄金期和拔高期，小树成长离不开外力辅助，妈妈们都很有危患意识，孩子上小学开始就会选择护脊书包，我自然也是其中一员，看了很多总结了一些干货（图2 3），给大家分享下我多次踩坑后才选到的宝藏护脊书包——德国戈撒驰护脊书包！成长型“高“定包它内侧隐藏得有身高刻度，从一米四到一米八都可以同步跟随调节！这真正守护他们成长的每个阶段，现在小学可以用，到时候还可以当初中生书包，按身高定制的“高“定包没跑了！稳稳支撑结构+多点承托减负内置U型铝制支撑杆，模拟人体脊柱自然曲线，贴合孩子后背线条。结合背板稳稳托住正在发育的脊柱，正确背负后还能形成多点承托，将集中在肩膀的压力分散到腰背，拒绝❌肩带胳膊扛！十几斤的书包背起来负重感不明显，还能帮助纠正不良的走姿，娃直接挺直腰杆走路。舒适透气不闷汗+超大容量巨能装面料质感绝了，抗造又防水。背垫采用的是高弹海绵，3D眼蜂窝网面和中空凹槽设计，不仅抗震减压，而且夏天特透气，背一天后背都清清爽爽，加宽加厚的肩带也完全不勒肩。容量是35L扩容设计，分区科学，每个隔层都很合理，各科书本、错题本、资料试卷、饭盒以及他们家配套的大容量笔盒放主隔层，一些练习册放副隔层，侧边放水杯、雨伞等，还有个前袋平时放足球，这对于爱运动的男孩子来说可实用了！这款书包不仅我满意，娃更满意，自从用了这个书包都没有给我抱怨肩膀痛了！真心希孩子们都能告别“沉重负担”，直起腰背！用一款合适的护脊书包轻松开启每一天的学习呀#Gotyasatch护脊书包[话题]# #戈撒驰护脊书包[话题]# #gotyasatch书包[话题]# #戈撒驰书包[话题]# #德国戈撒驰书包[话题]# #小学生书包[话题]# #护脊书包[话题]# #大容量书包[话题]# #护脊书包分享[话题]# #初中生书包[话题]# #高颜值书包[话题]# #书包分享[话题]# #戈撒驰高定护脊书包[话题]# #戈撒驰身高定制书包[话题]#</t>
  </si>
  <si>
    <t>关关</t>
  </si>
  <si>
    <t>5cc1b1cc00000000110387a9</t>
  </si>
  <si>
    <t>2025-07-20 10:59:25</t>
  </si>
  <si>
    <t>https://www.xiaohongshu.com/user/profile/5cc1b1cc00000000110387a9?&amp;xsec_source=pc_note</t>
  </si>
  <si>
    <t>https://www.xiaohongshu.com/discovery/item/687b715b000000001203cf1c?app_platform=android&amp;ignoreEngage=true&amp;app_version=8.47.0&amp;share_from_user_hidden=true&amp;xsec_source=app_share&amp;type=normal&amp;xsec_token=CBkhdRutn_6fgPa56eN7U1lUJN5zzbG4r-Bfcua59iXjs=&amp;author_share=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</si>
</sst>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0"/>
      <name val="宋体"/>
      <charset val="134"/>
    </font>
    <font>
      <b/>
      <sz val="11"/>
      <name val="宋体"/>
      <charset val="134"/>
    </font>
    <font>
      <b/>
      <sz val="11"/>
      <color rgb="FF1F2329"/>
      <name val="微软雅黑"/>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Segoe UI Emoji"/>
      <charset val="134"/>
    </font>
  </fonts>
  <fills count="35">
    <fill>
      <patternFill patternType="none"/>
    </fill>
    <fill>
      <patternFill patternType="gray125"/>
    </fill>
    <fill>
      <patternFill patternType="solid">
        <fgColor theme="1"/>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alignment vertical="center"/>
    </xf>
    <xf numFmtId="0" fontId="1" fillId="2" borderId="1" xfId="0" applyFont="1" applyFill="1" applyBorder="1" applyAlignment="1">
      <alignment horizontal="center" vertical="center"/>
    </xf>
    <xf numFmtId="0" fontId="2" fillId="0" borderId="1" xfId="0" applyFont="1" applyFill="1" applyBorder="1" applyAlignment="1">
      <alignment horizontal="center" vertical="top"/>
    </xf>
    <xf numFmtId="10" fontId="3" fillId="3" borderId="1" xfId="3" applyNumberFormat="1"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Fill="1" applyBorder="1" applyAlignment="1"/>
    <xf numFmtId="0" fontId="4" fillId="0" borderId="1" xfId="0" applyFont="1" applyFill="1" applyBorder="1" applyAlignment="1">
      <alignment horizontal="center"/>
    </xf>
    <xf numFmtId="10" fontId="4" fillId="0" borderId="1" xfId="3" applyNumberFormat="1"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DY\Downloads\&#12304;GYS&#12305;6-9&#26376;&#39033;&#30446;&#32467;&#26696;-CHUB-&#22788;&#297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笔记ID"/>
      <sheetName val="笔记详情"/>
      <sheetName val="蒲公英数据"/>
      <sheetName val="标题分词"/>
      <sheetName val="正文分词"/>
      <sheetName val="正文分词1"/>
      <sheetName val="十字轴数据"/>
      <sheetName val="7&amp;8月正文选词"/>
    </sheetNames>
    <sheetDataSet>
      <sheetData sheetId="0"/>
      <sheetData sheetId="1"/>
      <sheetData sheetId="2">
        <row r="1">
          <cell r="A1" t="str">
            <v>笔记ID</v>
          </cell>
          <cell r="B1" t="str">
            <v>笔记标题</v>
          </cell>
          <cell r="C1" t="str">
            <v>曝光量</v>
          </cell>
          <cell r="D1" t="str">
            <v>阅读量</v>
          </cell>
          <cell r="E1" t="str">
            <v>阅读UV</v>
          </cell>
          <cell r="F1" t="str">
            <v>互动量</v>
          </cell>
          <cell r="G1" t="str">
            <v>站外活跃行为uv</v>
          </cell>
          <cell r="H1" t="str">
            <v>CTR</v>
          </cell>
          <cell r="I1" t="str">
            <v>互动率</v>
          </cell>
          <cell r="J1" t="str">
            <v>回淘率</v>
          </cell>
        </row>
        <row r="2">
          <cell r="A2" t="str">
            <v>68a558f9000000001c00a0d5</v>
          </cell>
          <cell r="B2" t="str">
            <v>小学生开学好物，省心实用没有废物🔴🟠🟡</v>
          </cell>
          <cell r="C2">
            <v>27320</v>
          </cell>
          <cell r="D2">
            <v>3756</v>
          </cell>
          <cell r="E2">
            <v>2806</v>
          </cell>
          <cell r="F2">
            <v>351</v>
          </cell>
          <cell r="G2">
            <v>165</v>
          </cell>
          <cell r="H2">
            <v>0.137481698389458</v>
          </cell>
          <cell r="I2">
            <v>0.0934504792332268</v>
          </cell>
          <cell r="J2">
            <v>0.0588025659301497</v>
          </cell>
        </row>
        <row r="3">
          <cell r="A3" t="str">
            <v>689d59b5000000001d00288e</v>
          </cell>
          <cell r="B3" t="str">
            <v>11成熟小孩姐开箱初中生书包|实测二选一💗</v>
          </cell>
          <cell r="C3">
            <v>68320</v>
          </cell>
          <cell r="D3">
            <v>15230</v>
          </cell>
          <cell r="E3">
            <v>13611</v>
          </cell>
          <cell r="F3">
            <v>685</v>
          </cell>
          <cell r="G3">
            <v>752</v>
          </cell>
          <cell r="H3">
            <v>0.222921545667447</v>
          </cell>
          <cell r="I3">
            <v>0.0449770190413657</v>
          </cell>
          <cell r="J3">
            <v>0.0552494306075968</v>
          </cell>
        </row>
        <row r="4">
          <cell r="A4" t="str">
            <v>689c56af000000001d01d09f</v>
          </cell>
          <cell r="B4" t="str">
            <v>魔都妈妈 | 踩雷后才懂护脊书包的好‼️</v>
          </cell>
          <cell r="C4">
            <v>17154</v>
          </cell>
          <cell r="D4">
            <v>1047</v>
          </cell>
          <cell r="E4">
            <v>966</v>
          </cell>
          <cell r="F4">
            <v>45</v>
          </cell>
          <cell r="G4">
            <v>411</v>
          </cell>
          <cell r="H4">
            <v>0.0610353270374257</v>
          </cell>
          <cell r="I4">
            <v>0.0429799426934097</v>
          </cell>
          <cell r="J4">
            <v>0.425465838509317</v>
          </cell>
        </row>
        <row r="5">
          <cell r="A5" t="str">
            <v>689c2c3f000000001b01f510</v>
          </cell>
          <cell r="B5" t="str">
            <v>护脊书包测评：拯救娃的驼背危机！</v>
          </cell>
          <cell r="C5">
            <v>15081</v>
          </cell>
          <cell r="D5">
            <v>948</v>
          </cell>
          <cell r="E5">
            <v>833</v>
          </cell>
          <cell r="F5">
            <v>88</v>
          </cell>
          <cell r="G5">
            <v>381</v>
          </cell>
          <cell r="H5">
            <v>0.0628605530137259</v>
          </cell>
          <cell r="I5">
            <v>0.0928270042194093</v>
          </cell>
          <cell r="J5">
            <v>0.457382953181273</v>
          </cell>
        </row>
        <row r="6">
          <cell r="A6" t="str">
            <v>689abe2a0000000023023cf8</v>
          </cell>
          <cell r="B6" t="str">
            <v>哥哥的初中生书包，妹妹也能背？真护脊减负</v>
          </cell>
          <cell r="C6">
            <v>34192</v>
          </cell>
          <cell r="D6">
            <v>3633</v>
          </cell>
          <cell r="E6">
            <v>3435</v>
          </cell>
          <cell r="F6">
            <v>253</v>
          </cell>
          <cell r="G6">
            <v>791</v>
          </cell>
          <cell r="H6">
            <v>0.106252924660739</v>
          </cell>
          <cell r="I6">
            <v>0.0696394164602257</v>
          </cell>
          <cell r="J6">
            <v>0.230276564774381</v>
          </cell>
        </row>
        <row r="7">
          <cell r="A7" t="str">
            <v>68968a000000000005008d00</v>
          </cell>
          <cell r="B7" t="str">
            <v>育婴师支招：护脊书包规避孩子体态坑</v>
          </cell>
          <cell r="C7">
            <v>63659</v>
          </cell>
          <cell r="D7">
            <v>5435</v>
          </cell>
          <cell r="E7">
            <v>2271</v>
          </cell>
          <cell r="F7">
            <v>502</v>
          </cell>
          <cell r="G7">
            <v>155</v>
          </cell>
          <cell r="H7">
            <v>0.0853767731192761</v>
          </cell>
          <cell r="I7">
            <v>0.0923643054277829</v>
          </cell>
          <cell r="J7">
            <v>0.0682518714222809</v>
          </cell>
        </row>
        <row r="8">
          <cell r="A8" t="str">
            <v>6895ef150000000003031c2d</v>
          </cell>
          <cell r="B8" t="str">
            <v>再不抓体态就晚了！国际学校初中生书包实测</v>
          </cell>
          <cell r="C8">
            <v>98330</v>
          </cell>
          <cell r="D8">
            <v>8238</v>
          </cell>
          <cell r="E8">
            <v>7430</v>
          </cell>
          <cell r="F8">
            <v>111</v>
          </cell>
          <cell r="G8">
            <v>2917</v>
          </cell>
          <cell r="H8">
            <v>0.0837791111563104</v>
          </cell>
          <cell r="I8">
            <v>0.0134741442097597</v>
          </cell>
          <cell r="J8">
            <v>0.392597577388964</v>
          </cell>
        </row>
        <row r="9">
          <cell r="A9" t="str">
            <v>6895cd900000000023029547</v>
          </cell>
          <cell r="B9" t="str">
            <v>别忽视护脊书包的作用！选对和驼背说拜拜~</v>
          </cell>
          <cell r="C9">
            <v>51322</v>
          </cell>
          <cell r="D9">
            <v>10766</v>
          </cell>
          <cell r="E9">
            <v>8390</v>
          </cell>
          <cell r="F9">
            <v>318</v>
          </cell>
          <cell r="G9">
            <v>766</v>
          </cell>
          <cell r="H9">
            <v>0.209773586376213</v>
          </cell>
          <cell r="I9">
            <v>0.0295374326583689</v>
          </cell>
          <cell r="J9">
            <v>0.0912991656734207</v>
          </cell>
        </row>
        <row r="10">
          <cell r="A10" t="str">
            <v>6895a25a000000002301a455</v>
          </cell>
          <cell r="B10" t="str">
            <v>美国VS中国！为啥回国后要给娃换护脊书包</v>
          </cell>
          <cell r="C10">
            <v>14526</v>
          </cell>
          <cell r="D10">
            <v>919</v>
          </cell>
          <cell r="E10">
            <v>829</v>
          </cell>
          <cell r="F10">
            <v>240</v>
          </cell>
          <cell r="G10">
            <v>136</v>
          </cell>
          <cell r="H10">
            <v>0.0632658680985819</v>
          </cell>
          <cell r="I10">
            <v>0.261153427638738</v>
          </cell>
          <cell r="J10">
            <v>0.164053075995175</v>
          </cell>
        </row>
        <row r="11">
          <cell r="A11" t="str">
            <v>6895cd50000000002203b054</v>
          </cell>
          <cell r="B11" t="str">
            <v>孩子高低肩，驼背可能是初中生书包没选对！</v>
          </cell>
          <cell r="C11">
            <v>98907</v>
          </cell>
          <cell r="D11">
            <v>5131</v>
          </cell>
          <cell r="E11">
            <v>3354</v>
          </cell>
          <cell r="F11">
            <v>514</v>
          </cell>
          <cell r="G11">
            <v>219</v>
          </cell>
          <cell r="H11">
            <v>0.0518770157825028</v>
          </cell>
          <cell r="I11">
            <v>0.100175404404599</v>
          </cell>
          <cell r="J11">
            <v>0.0652951699463327</v>
          </cell>
        </row>
        <row r="12">
          <cell r="A12" t="str">
            <v>68959110000000002501f88e</v>
          </cell>
          <cell r="B12" t="str">
            <v>三升四🔥2款热门护脊书包测评！避坑指南！</v>
          </cell>
          <cell r="C12">
            <v>23971</v>
          </cell>
          <cell r="D12">
            <v>5393</v>
          </cell>
          <cell r="E12">
            <v>3158</v>
          </cell>
          <cell r="F12">
            <v>216</v>
          </cell>
          <cell r="G12">
            <v>350</v>
          </cell>
          <cell r="H12">
            <v>0.224980184389471</v>
          </cell>
          <cell r="I12">
            <v>0.0400519191544595</v>
          </cell>
          <cell r="J12">
            <v>0.110829639012033</v>
          </cell>
        </row>
        <row r="13">
          <cell r="A13" t="str">
            <v>68959f780000000023018db4</v>
          </cell>
          <cell r="B13" t="str">
            <v>求推荐一包通用的万能初中生书包!</v>
          </cell>
          <cell r="C13">
            <v>12071</v>
          </cell>
          <cell r="D13">
            <v>1127</v>
          </cell>
          <cell r="E13">
            <v>997</v>
          </cell>
          <cell r="F13">
            <v>42</v>
          </cell>
          <cell r="G13">
            <v>226</v>
          </cell>
          <cell r="H13">
            <v>0.0933642614530693</v>
          </cell>
          <cell r="I13">
            <v>0.0372670807453416</v>
          </cell>
          <cell r="J13">
            <v>0.226680040120361</v>
          </cell>
        </row>
        <row r="14">
          <cell r="A14" t="str">
            <v>6895927c0000000025013d0a</v>
          </cell>
          <cell r="B14" t="str">
            <v>护脊书包选购必看👉经验妈妈“血泪史”</v>
          </cell>
          <cell r="C14">
            <v>55728</v>
          </cell>
          <cell r="D14">
            <v>6754</v>
          </cell>
          <cell r="E14">
            <v>6354</v>
          </cell>
          <cell r="F14">
            <v>615</v>
          </cell>
          <cell r="G14">
            <v>203</v>
          </cell>
          <cell r="H14">
            <v>0.121195808211312</v>
          </cell>
          <cell r="I14">
            <v>0.0910571513177376</v>
          </cell>
          <cell r="J14">
            <v>0.0319483789738747</v>
          </cell>
        </row>
        <row r="15">
          <cell r="A15" t="str">
            <v>68955e4b000000000302517c</v>
          </cell>
          <cell r="B15" t="str">
            <v>能长“高”的护脊书包，彻底拯救选包困难！</v>
          </cell>
          <cell r="C15">
            <v>51531</v>
          </cell>
          <cell r="D15">
            <v>3381</v>
          </cell>
          <cell r="E15">
            <v>3169</v>
          </cell>
          <cell r="F15">
            <v>216</v>
          </cell>
          <cell r="G15">
            <v>629</v>
          </cell>
          <cell r="H15">
            <v>0.0656109914420446</v>
          </cell>
          <cell r="I15">
            <v>0.0638864241348713</v>
          </cell>
          <cell r="J15">
            <v>0.198485326601452</v>
          </cell>
        </row>
        <row r="16">
          <cell r="A16" t="str">
            <v>689566830000000022038b27</v>
          </cell>
          <cell r="B16" t="str">
            <v>有小升初娃，哪款初中生书包深得他心❓</v>
          </cell>
          <cell r="C16">
            <v>55118</v>
          </cell>
          <cell r="D16">
            <v>5559</v>
          </cell>
          <cell r="E16">
            <v>3377</v>
          </cell>
          <cell r="F16">
            <v>317</v>
          </cell>
          <cell r="G16">
            <v>1197</v>
          </cell>
          <cell r="H16">
            <v>0.100856344569832</v>
          </cell>
          <cell r="I16">
            <v>0.0570246447202734</v>
          </cell>
          <cell r="J16">
            <v>0.354456618300267</v>
          </cell>
        </row>
        <row r="17">
          <cell r="A17" t="str">
            <v>68955cac000000002301a86a</v>
          </cell>
          <cell r="B17" t="str">
            <v>初中生书包怎么选❓应对成长发育困扰</v>
          </cell>
          <cell r="C17">
            <v>34847</v>
          </cell>
          <cell r="D17">
            <v>3106</v>
          </cell>
          <cell r="E17">
            <v>2981</v>
          </cell>
          <cell r="F17">
            <v>325</v>
          </cell>
          <cell r="G17">
            <v>256</v>
          </cell>
          <cell r="H17">
            <v>0.089132493471461</v>
          </cell>
          <cell r="I17">
            <v>0.104636188023181</v>
          </cell>
          <cell r="J17">
            <v>0.0858772224085877</v>
          </cell>
        </row>
        <row r="18">
          <cell r="A18" t="str">
            <v>6889dc6b000000000403ece8</v>
          </cell>
          <cell r="B18" t="str">
            <v>新学期的仪式感，换个真减负的护脊书包</v>
          </cell>
          <cell r="C18">
            <v>129285</v>
          </cell>
          <cell r="D18">
            <v>18732</v>
          </cell>
          <cell r="E18">
            <v>16909</v>
          </cell>
          <cell r="F18">
            <v>292</v>
          </cell>
          <cell r="G18">
            <v>1914</v>
          </cell>
          <cell r="H18">
            <v>0.144889198282863</v>
          </cell>
          <cell r="I18">
            <v>0.0155882980995089</v>
          </cell>
          <cell r="J18">
            <v>0.113194156957833</v>
          </cell>
        </row>
        <row r="19">
          <cell r="A19" t="str">
            <v>68882cfa000000001d00d693</v>
          </cell>
          <cell r="B19" t="str">
            <v>职场妈妈育儿经|护脊书包真的不是智商税</v>
          </cell>
          <cell r="C19">
            <v>48045</v>
          </cell>
          <cell r="D19">
            <v>3049</v>
          </cell>
          <cell r="E19">
            <v>2849</v>
          </cell>
          <cell r="F19">
            <v>56</v>
          </cell>
          <cell r="G19">
            <v>954</v>
          </cell>
          <cell r="H19">
            <v>0.0634613383286502</v>
          </cell>
          <cell r="I19">
            <v>0.0183666775992129</v>
          </cell>
          <cell r="J19">
            <v>0.334854334854335</v>
          </cell>
        </row>
        <row r="20">
          <cell r="A20" t="str">
            <v>688856990000000003032028</v>
          </cell>
          <cell r="B20" t="str">
            <v>6年教师+经验宝妈教你这样选护脊书包!</v>
          </cell>
          <cell r="C20">
            <v>29830</v>
          </cell>
          <cell r="D20">
            <v>2893</v>
          </cell>
          <cell r="E20">
            <v>2317</v>
          </cell>
          <cell r="F20">
            <v>272</v>
          </cell>
          <cell r="G20">
            <v>331</v>
          </cell>
          <cell r="H20">
            <v>0.0969829031176668</v>
          </cell>
          <cell r="I20">
            <v>0.094020048392672</v>
          </cell>
          <cell r="J20">
            <v>0.142857142857143</v>
          </cell>
        </row>
        <row r="21">
          <cell r="A21" t="str">
            <v>6888790800000000250241aa</v>
          </cell>
          <cell r="B21" t="str">
            <v>四年级预备役✨两款热门护脊书包选谁🎒</v>
          </cell>
          <cell r="C21">
            <v>39409</v>
          </cell>
          <cell r="D21">
            <v>2995</v>
          </cell>
          <cell r="E21">
            <v>2744</v>
          </cell>
          <cell r="F21">
            <v>130</v>
          </cell>
          <cell r="G21">
            <v>685</v>
          </cell>
          <cell r="H21">
            <v>0.0759978685071938</v>
          </cell>
          <cell r="I21">
            <v>0.0434056761268781</v>
          </cell>
          <cell r="J21">
            <v>0.24963556851312</v>
          </cell>
        </row>
        <row r="22">
          <cell r="A22" t="str">
            <v>68887fba000000000403e00e</v>
          </cell>
          <cell r="B22" t="str">
            <v>两款护脊书包实测！减负护脊+身高定制</v>
          </cell>
          <cell r="C22">
            <v>42738</v>
          </cell>
          <cell r="D22">
            <v>4337</v>
          </cell>
          <cell r="E22">
            <v>4144</v>
          </cell>
          <cell r="F22">
            <v>192</v>
          </cell>
          <cell r="G22">
            <v>1279</v>
          </cell>
          <cell r="H22">
            <v>0.101478777668585</v>
          </cell>
          <cell r="I22">
            <v>0.0442702328798709</v>
          </cell>
          <cell r="J22">
            <v>0.308638996138996</v>
          </cell>
        </row>
        <row r="23">
          <cell r="A23" t="str">
            <v>6888634d000000002501ab4b</v>
          </cell>
          <cell r="B23" t="str">
            <v>连夜下单护脊书包，承包孩子的小初高！</v>
          </cell>
          <cell r="C23">
            <v>35982</v>
          </cell>
          <cell r="D23">
            <v>2811</v>
          </cell>
          <cell r="E23">
            <v>2279</v>
          </cell>
          <cell r="F23">
            <v>245</v>
          </cell>
          <cell r="G23">
            <v>939</v>
          </cell>
          <cell r="H23">
            <v>0.0781223945305986</v>
          </cell>
          <cell r="I23">
            <v>0.0871575951618641</v>
          </cell>
          <cell r="J23">
            <v>0.412022817025011</v>
          </cell>
        </row>
        <row r="24">
          <cell r="A24" t="str">
            <v>688879160000000023031045</v>
          </cell>
          <cell r="B24" t="str">
            <v>护脊书包实测！开学季选购看准减负+调节</v>
          </cell>
          <cell r="C24">
            <v>100536</v>
          </cell>
          <cell r="D24">
            <v>10259</v>
          </cell>
          <cell r="E24">
            <v>8384</v>
          </cell>
          <cell r="F24">
            <v>348</v>
          </cell>
          <cell r="G24">
            <v>3529</v>
          </cell>
          <cell r="H24">
            <v>0.102043049255988</v>
          </cell>
          <cell r="I24">
            <v>0.0339214348377035</v>
          </cell>
          <cell r="J24">
            <v>0.420920801526718</v>
          </cell>
        </row>
        <row r="25">
          <cell r="A25" t="str">
            <v>68886f32000000002501d1cc</v>
          </cell>
          <cell r="B25" t="str">
            <v>初中生书包开箱vlog｜小孩姐又开心了</v>
          </cell>
          <cell r="C25">
            <v>34714</v>
          </cell>
          <cell r="D25">
            <v>8268</v>
          </cell>
          <cell r="E25">
            <v>7125</v>
          </cell>
          <cell r="F25">
            <v>603</v>
          </cell>
          <cell r="G25">
            <v>1341</v>
          </cell>
          <cell r="H25">
            <v>0.238174799792591</v>
          </cell>
          <cell r="I25">
            <v>0.0729317851959361</v>
          </cell>
          <cell r="J25">
            <v>0.188210526315789</v>
          </cell>
        </row>
        <row r="26">
          <cell r="A26" t="str">
            <v>68886af7000000002301bf48</v>
          </cell>
          <cell r="B26" t="str">
            <v>疯了吧❗是谁给小学生安排这个书包的啊❓</v>
          </cell>
          <cell r="C26">
            <v>42450</v>
          </cell>
          <cell r="D26">
            <v>4478</v>
          </cell>
          <cell r="E26">
            <v>3324</v>
          </cell>
          <cell r="F26">
            <v>160</v>
          </cell>
          <cell r="G26">
            <v>1693</v>
          </cell>
          <cell r="H26">
            <v>0.105488810365135</v>
          </cell>
          <cell r="I26">
            <v>0.0357302367128182</v>
          </cell>
          <cell r="J26">
            <v>0.509326113116727</v>
          </cell>
        </row>
        <row r="27">
          <cell r="A27" t="str">
            <v>68885195000000002400bdd6</v>
          </cell>
          <cell r="B27" t="str">
            <v>四年级娃的升学礼物：好看的护脊书包安排上</v>
          </cell>
          <cell r="C27">
            <v>14356</v>
          </cell>
          <cell r="D27">
            <v>1651</v>
          </cell>
          <cell r="E27">
            <v>1158</v>
          </cell>
          <cell r="F27">
            <v>226</v>
          </cell>
          <cell r="G27">
            <v>169</v>
          </cell>
          <cell r="H27">
            <v>0.115004179437169</v>
          </cell>
          <cell r="I27">
            <v>0.136886735311932</v>
          </cell>
          <cell r="J27">
            <v>0.14594127806563</v>
          </cell>
        </row>
        <row r="28">
          <cell r="A28" t="str">
            <v>68874267000000001001265c</v>
          </cell>
          <cell r="B28" t="str">
            <v>4年换3个！小学高年级的护脊书包怎么挑？</v>
          </cell>
          <cell r="C28">
            <v>21498</v>
          </cell>
          <cell r="D28">
            <v>4244</v>
          </cell>
          <cell r="E28">
            <v>3708</v>
          </cell>
          <cell r="F28">
            <v>296</v>
          </cell>
          <cell r="G28">
            <v>689</v>
          </cell>
          <cell r="H28">
            <v>0.197413712903526</v>
          </cell>
          <cell r="I28">
            <v>0.0697455230914232</v>
          </cell>
          <cell r="J28">
            <v>0.185814455231931</v>
          </cell>
        </row>
        <row r="29">
          <cell r="A29" t="str">
            <v>6882b44a0000000011002c65</v>
          </cell>
          <cell r="B29" t="str">
            <v>初中生书包怎么选 | 看完再买也不迟❗</v>
          </cell>
          <cell r="C29">
            <v>72463</v>
          </cell>
          <cell r="D29">
            <v>14588</v>
          </cell>
          <cell r="E29">
            <v>12678</v>
          </cell>
          <cell r="F29">
            <v>709</v>
          </cell>
          <cell r="G29">
            <v>2976</v>
          </cell>
          <cell r="H29">
            <v>0.20131653395526</v>
          </cell>
          <cell r="I29">
            <v>0.0486015903482314</v>
          </cell>
          <cell r="J29">
            <v>0.234737340274491</v>
          </cell>
        </row>
        <row r="30">
          <cell r="A30" t="str">
            <v>68836875000000002001a367</v>
          </cell>
          <cell r="B30" t="str">
            <v>151cm女生亲测❗热门护脊书包到底选哪款？</v>
          </cell>
          <cell r="C30">
            <v>65342</v>
          </cell>
          <cell r="D30">
            <v>5729</v>
          </cell>
          <cell r="E30">
            <v>5385</v>
          </cell>
          <cell r="F30">
            <v>63</v>
          </cell>
          <cell r="G30">
            <v>1334</v>
          </cell>
          <cell r="H30">
            <v>0.0876771448685379</v>
          </cell>
          <cell r="I30">
            <v>0.0109966835398848</v>
          </cell>
          <cell r="J30">
            <v>0.247725162488394</v>
          </cell>
        </row>
        <row r="31">
          <cell r="A31" t="str">
            <v>688369e90000000013011dd0</v>
          </cell>
          <cell r="B31" t="str">
            <v>🌟升学攻略书包篇丨护脊书包这样选✅</v>
          </cell>
          <cell r="C31">
            <v>76554</v>
          </cell>
          <cell r="D31">
            <v>25545</v>
          </cell>
          <cell r="E31">
            <v>23229</v>
          </cell>
          <cell r="F31">
            <v>732</v>
          </cell>
          <cell r="G31">
            <v>1611</v>
          </cell>
          <cell r="H31">
            <v>0.333686025550592</v>
          </cell>
          <cell r="I31">
            <v>0.0286553141514974</v>
          </cell>
          <cell r="J31">
            <v>0.0693529639674545</v>
          </cell>
        </row>
        <row r="32">
          <cell r="A32" t="str">
            <v>68839c35000000000d0259ce</v>
          </cell>
          <cell r="B32" t="str">
            <v>六年级娃实测：身高定制书包超实用！</v>
          </cell>
          <cell r="C32">
            <v>14815</v>
          </cell>
          <cell r="D32">
            <v>1184</v>
          </cell>
          <cell r="E32">
            <v>959</v>
          </cell>
          <cell r="F32">
            <v>178</v>
          </cell>
          <cell r="G32">
            <v>505</v>
          </cell>
          <cell r="H32">
            <v>0.0799190010124873</v>
          </cell>
          <cell r="I32">
            <v>0.150337837837838</v>
          </cell>
          <cell r="J32">
            <v>0.526590198123045</v>
          </cell>
        </row>
        <row r="33">
          <cell r="A33" t="str">
            <v>68818c11000000000b02fe08</v>
          </cell>
          <cell r="B33" t="str">
            <v>选护脊书包别盲目跟风，适配成长才是关键</v>
          </cell>
          <cell r="C33">
            <v>140898</v>
          </cell>
          <cell r="D33">
            <v>14307</v>
          </cell>
          <cell r="E33">
            <v>11322</v>
          </cell>
          <cell r="F33">
            <v>386</v>
          </cell>
          <cell r="G33">
            <v>2003</v>
          </cell>
          <cell r="H33">
            <v>0.101541540689009</v>
          </cell>
          <cell r="I33">
            <v>0.0269798000978542</v>
          </cell>
          <cell r="J33">
            <v>0.176912206323971</v>
          </cell>
        </row>
        <row r="34">
          <cell r="A34" t="str">
            <v>688070590000000012021271</v>
          </cell>
          <cell r="B34" t="str">
            <v>小学准毕业生开学礼物🎒收到两个护脊书包🎉</v>
          </cell>
          <cell r="C34">
            <v>84514</v>
          </cell>
          <cell r="D34">
            <v>16966</v>
          </cell>
          <cell r="E34">
            <v>15266</v>
          </cell>
          <cell r="F34">
            <v>486</v>
          </cell>
          <cell r="G34">
            <v>1913</v>
          </cell>
          <cell r="H34">
            <v>0.20074780509738</v>
          </cell>
          <cell r="I34">
            <v>0.0286455263468113</v>
          </cell>
          <cell r="J34">
            <v>0.12531114895847</v>
          </cell>
        </row>
        <row r="35">
          <cell r="A35" t="str">
            <v>688044c4000000002400aa45</v>
          </cell>
          <cell r="B35" t="str">
            <v>护脊书包决赛圈3选1！！！</v>
          </cell>
          <cell r="C35">
            <v>166324</v>
          </cell>
          <cell r="D35">
            <v>19807</v>
          </cell>
          <cell r="E35">
            <v>18389</v>
          </cell>
          <cell r="F35">
            <v>278</v>
          </cell>
          <cell r="G35">
            <v>5817</v>
          </cell>
          <cell r="H35">
            <v>0.119086842548279</v>
          </cell>
          <cell r="I35">
            <v>0.0140354420154491</v>
          </cell>
          <cell r="J35">
            <v>0.316330414921964</v>
          </cell>
        </row>
        <row r="36">
          <cell r="A36" t="str">
            <v>687f000800000000130122e7</v>
          </cell>
          <cell r="B36" t="str">
            <v>后悔买晚了！原来护脊书包真的能撑腰</v>
          </cell>
          <cell r="C36">
            <v>34758</v>
          </cell>
          <cell r="D36">
            <v>6410</v>
          </cell>
          <cell r="E36">
            <v>3044</v>
          </cell>
          <cell r="F36">
            <v>282</v>
          </cell>
          <cell r="G36">
            <v>394</v>
          </cell>
          <cell r="H36">
            <v>0.18441797571782</v>
          </cell>
          <cell r="I36">
            <v>0.04399375975039</v>
          </cell>
          <cell r="J36">
            <v>0.129434954007884</v>
          </cell>
        </row>
        <row r="37">
          <cell r="A37" t="str">
            <v>687f4f8d0000000010024eca</v>
          </cell>
          <cell r="B37" t="str">
            <v>护脊书包怎么选？有效护脊＞品牌＞颜值</v>
          </cell>
          <cell r="C37">
            <v>36736</v>
          </cell>
          <cell r="D37">
            <v>3998</v>
          </cell>
          <cell r="E37">
            <v>2408</v>
          </cell>
          <cell r="F37">
            <v>282</v>
          </cell>
          <cell r="G37">
            <v>962</v>
          </cell>
          <cell r="H37">
            <v>0.108830574912892</v>
          </cell>
          <cell r="I37">
            <v>0.0705352676338169</v>
          </cell>
          <cell r="J37">
            <v>0.399501661129568</v>
          </cell>
        </row>
        <row r="38">
          <cell r="A38" t="str">
            <v>687f1e91000000002400c28d</v>
          </cell>
          <cell r="B38" t="str">
            <v>1.4m用到1.8m！护脊书包还可以定制？</v>
          </cell>
          <cell r="C38">
            <v>67147</v>
          </cell>
          <cell r="D38">
            <v>12566</v>
          </cell>
          <cell r="E38">
            <v>11567</v>
          </cell>
          <cell r="F38">
            <v>1310</v>
          </cell>
          <cell r="G38">
            <v>2132</v>
          </cell>
          <cell r="H38">
            <v>0.187141644451725</v>
          </cell>
          <cell r="I38">
            <v>0.104249562310998</v>
          </cell>
          <cell r="J38">
            <v>0.184317454828391</v>
          </cell>
        </row>
        <row r="39">
          <cell r="A39" t="str">
            <v>687f08ad000000001202c2e3</v>
          </cell>
          <cell r="B39" t="str">
            <v>六年级学霸女孩的开学装备｜少不了护脊书包</v>
          </cell>
          <cell r="C39">
            <v>71180</v>
          </cell>
          <cell r="D39">
            <v>6188</v>
          </cell>
          <cell r="E39">
            <v>5789</v>
          </cell>
          <cell r="F39">
            <v>165</v>
          </cell>
          <cell r="G39">
            <v>568</v>
          </cell>
          <cell r="H39">
            <v>0.0869345321719584</v>
          </cell>
          <cell r="I39">
            <v>0.0266645119586296</v>
          </cell>
          <cell r="J39">
            <v>0.098117118673346</v>
          </cell>
        </row>
        <row r="40">
          <cell r="A40" t="str">
            <v>687eeff8000000002400c873</v>
          </cell>
          <cell r="B40" t="str">
            <v>拆箱实测 | 带你硬核挑选初中生书包‼️</v>
          </cell>
          <cell r="C40">
            <v>114232</v>
          </cell>
          <cell r="D40">
            <v>18727</v>
          </cell>
          <cell r="E40">
            <v>10380</v>
          </cell>
          <cell r="F40">
            <v>513</v>
          </cell>
          <cell r="G40">
            <v>1108</v>
          </cell>
          <cell r="H40">
            <v>0.163938301001471</v>
          </cell>
          <cell r="I40">
            <v>0.0273936028194585</v>
          </cell>
          <cell r="J40">
            <v>0.106743737957611</v>
          </cell>
        </row>
        <row r="41">
          <cell r="A41" t="str">
            <v>687b715b000000001203cf1c</v>
          </cell>
          <cell r="B41" t="str">
            <v>护脊书包超强攻略｜这波我赢麻了！</v>
          </cell>
          <cell r="C41">
            <v>18558</v>
          </cell>
          <cell r="D41">
            <v>9095</v>
          </cell>
          <cell r="E41">
            <v>3946</v>
          </cell>
          <cell r="F41">
            <v>408</v>
          </cell>
          <cell r="G41">
            <v>48</v>
          </cell>
          <cell r="H41">
            <v>0.49008513848475</v>
          </cell>
          <cell r="I41">
            <v>0.0448598130841121</v>
          </cell>
          <cell r="J41">
            <v>0.0121642169285352</v>
          </cell>
        </row>
        <row r="42">
          <cell r="A42" t="str">
            <v>687b25e9000000001100247a</v>
          </cell>
          <cell r="B42" t="str">
            <v>成长减负黑科技，选这个护脊书包稳了</v>
          </cell>
          <cell r="C42">
            <v>95100</v>
          </cell>
          <cell r="D42">
            <v>9801</v>
          </cell>
          <cell r="E42">
            <v>7192</v>
          </cell>
          <cell r="F42">
            <v>336</v>
          </cell>
          <cell r="G42">
            <v>1603</v>
          </cell>
          <cell r="H42">
            <v>0.103059936908517</v>
          </cell>
          <cell r="I42">
            <v>0.0342822161003979</v>
          </cell>
          <cell r="J42">
            <v>0.222886540600667</v>
          </cell>
        </row>
        <row r="43">
          <cell r="A43" t="str">
            <v>687b3076000000000d01bc26</v>
          </cell>
          <cell r="B43" t="str">
            <v>🎒初中生书包怎么选？两款热门款选哪个？</v>
          </cell>
          <cell r="C43">
            <v>180773</v>
          </cell>
          <cell r="D43">
            <v>19349</v>
          </cell>
          <cell r="E43">
            <v>17898</v>
          </cell>
          <cell r="F43">
            <v>366</v>
          </cell>
          <cell r="G43">
            <v>4059</v>
          </cell>
          <cell r="H43">
            <v>0.107034789487368</v>
          </cell>
          <cell r="I43">
            <v>0.0189157062380485</v>
          </cell>
          <cell r="J43">
            <v>0.22678511565538</v>
          </cell>
        </row>
        <row r="44">
          <cell r="A44" t="str">
            <v>68785cf8000000001c03728f</v>
          </cell>
          <cell r="B44" t="str">
            <v>初中生书包是买便宜的还是贵的呀？</v>
          </cell>
          <cell r="C44">
            <v>294294</v>
          </cell>
          <cell r="D44">
            <v>49585</v>
          </cell>
          <cell r="E44">
            <v>47230</v>
          </cell>
          <cell r="F44">
            <v>1104</v>
          </cell>
          <cell r="G44">
            <v>2712</v>
          </cell>
          <cell r="H44">
            <v>0.168487974610424</v>
          </cell>
          <cell r="I44">
            <v>0.022264797821922</v>
          </cell>
          <cell r="J44">
            <v>0.0574211306373068</v>
          </cell>
        </row>
        <row r="45">
          <cell r="A45" t="str">
            <v>68785dc00000000024008712</v>
          </cell>
          <cell r="B45" t="str">
            <v>左滑帮我选初中生书包</v>
          </cell>
          <cell r="C45">
            <v>21617</v>
          </cell>
          <cell r="D45">
            <v>2542</v>
          </cell>
          <cell r="E45">
            <v>2172</v>
          </cell>
          <cell r="F45">
            <v>161</v>
          </cell>
          <cell r="G45">
            <v>462</v>
          </cell>
          <cell r="H45">
            <v>0.117592635425822</v>
          </cell>
          <cell r="I45">
            <v>0.0633359559402046</v>
          </cell>
          <cell r="J45">
            <v>0.212707182320442</v>
          </cell>
        </row>
        <row r="46">
          <cell r="A46" t="str">
            <v>6874b5cb0000000013010f7e</v>
          </cell>
          <cell r="B46" t="str">
            <v>小学生自用分享 | 弄清护脊书包的秘密</v>
          </cell>
          <cell r="C46">
            <v>62779</v>
          </cell>
          <cell r="D46">
            <v>5590</v>
          </cell>
          <cell r="E46">
            <v>4035</v>
          </cell>
          <cell r="F46">
            <v>267</v>
          </cell>
          <cell r="G46">
            <v>404</v>
          </cell>
          <cell r="H46">
            <v>0.0890425142165374</v>
          </cell>
          <cell r="I46">
            <v>0.0477638640429338</v>
          </cell>
          <cell r="J46">
            <v>0.100123915737299</v>
          </cell>
        </row>
        <row r="47">
          <cell r="A47" t="str">
            <v>6874b616000000001d00d4bb</v>
          </cell>
          <cell r="B47" t="str">
            <v>小高年级护脊书包怎么选？成长适配很重要～</v>
          </cell>
          <cell r="C47">
            <v>69651</v>
          </cell>
          <cell r="D47">
            <v>8978</v>
          </cell>
          <cell r="E47">
            <v>7802</v>
          </cell>
          <cell r="F47">
            <v>427</v>
          </cell>
          <cell r="G47">
            <v>2030</v>
          </cell>
          <cell r="H47">
            <v>0.12889980043359</v>
          </cell>
          <cell r="I47">
            <v>0.0475607039429717</v>
          </cell>
          <cell r="J47">
            <v>0.260189694950013</v>
          </cell>
        </row>
        <row r="48">
          <cell r="A48" t="str">
            <v>686f276a0000000012017fa5</v>
          </cell>
          <cell r="B48" t="str">
            <v>孩子书包到底要不要买好点的呀？</v>
          </cell>
          <cell r="C48">
            <v>101115</v>
          </cell>
          <cell r="D48">
            <v>9511</v>
          </cell>
          <cell r="E48">
            <v>8910</v>
          </cell>
          <cell r="F48">
            <v>220</v>
          </cell>
          <cell r="G48">
            <v>3126</v>
          </cell>
          <cell r="H48">
            <v>0.0940612174257034</v>
          </cell>
          <cell r="I48">
            <v>0.0231311113447587</v>
          </cell>
          <cell r="J48">
            <v>0.350841750841751</v>
          </cell>
        </row>
        <row r="49">
          <cell r="A49" t="str">
            <v>686f2d9b0000000023007f39</v>
          </cell>
          <cell r="B49" t="str">
            <v>Deepseek推了8次的千元护脊书包，值得冲吗</v>
          </cell>
          <cell r="C49">
            <v>308283</v>
          </cell>
          <cell r="D49">
            <v>39940</v>
          </cell>
          <cell r="E49">
            <v>38292</v>
          </cell>
          <cell r="F49">
            <v>275</v>
          </cell>
          <cell r="G49">
            <v>6875</v>
          </cell>
          <cell r="H49">
            <v>0.129556284323171</v>
          </cell>
          <cell r="I49">
            <v>0.00688532799198798</v>
          </cell>
          <cell r="J49">
            <v>0.17954141857307</v>
          </cell>
        </row>
        <row r="50">
          <cell r="A50" t="str">
            <v>6862613c000000002400c0c8</v>
          </cell>
          <cell r="B50" t="str">
            <v>喜提“高”定包：这护脊书包太 “哇噻” 了！</v>
          </cell>
          <cell r="C50">
            <v>194007</v>
          </cell>
          <cell r="D50">
            <v>31166</v>
          </cell>
          <cell r="E50">
            <v>22104</v>
          </cell>
          <cell r="F50">
            <v>764</v>
          </cell>
          <cell r="G50">
            <v>4043</v>
          </cell>
          <cell r="H50">
            <v>0.160643688114346</v>
          </cell>
          <cell r="I50">
            <v>0.0245138933453122</v>
          </cell>
          <cell r="J50">
            <v>0.182908070937387</v>
          </cell>
        </row>
        <row r="51">
          <cell r="A51" t="str">
            <v>686213f1000000001c031a07</v>
          </cell>
          <cell r="B51" t="str">
            <v>高能量10后小学生假期出游装备-护脊书包</v>
          </cell>
          <cell r="C51">
            <v>443568</v>
          </cell>
          <cell r="D51">
            <v>35511</v>
          </cell>
          <cell r="E51">
            <v>33770</v>
          </cell>
          <cell r="F51">
            <v>169</v>
          </cell>
          <cell r="G51">
            <v>3524</v>
          </cell>
          <cell r="H51">
            <v>0.0800576236338059</v>
          </cell>
          <cell r="I51">
            <v>0.00475908873306863</v>
          </cell>
          <cell r="J51">
            <v>0.104352976014214</v>
          </cell>
        </row>
        <row r="52">
          <cell r="A52" t="str">
            <v>68620552000000002400d8e4</v>
          </cell>
          <cell r="B52" t="str">
            <v>现在的初中生书包太逆天，还能跟着娃长高！</v>
          </cell>
          <cell r="C52">
            <v>231798</v>
          </cell>
          <cell r="D52">
            <v>24211</v>
          </cell>
          <cell r="E52">
            <v>23265</v>
          </cell>
          <cell r="F52">
            <v>114</v>
          </cell>
          <cell r="G52">
            <v>3992</v>
          </cell>
          <cell r="H52">
            <v>0.104448701024168</v>
          </cell>
          <cell r="I52">
            <v>0.00470860352732229</v>
          </cell>
          <cell r="J52">
            <v>0.171588222652052</v>
          </cell>
        </row>
        <row r="53">
          <cell r="A53" t="str">
            <v>686222e50000000024008de2</v>
          </cell>
          <cell r="B53" t="str">
            <v>适配身高的初中生书包，成长期的娃太需要了</v>
          </cell>
          <cell r="C53">
            <v>190256</v>
          </cell>
          <cell r="D53">
            <v>25329</v>
          </cell>
          <cell r="E53">
            <v>23429</v>
          </cell>
          <cell r="F53">
            <v>620</v>
          </cell>
          <cell r="G53">
            <v>4569</v>
          </cell>
          <cell r="H53">
            <v>0.133131149608948</v>
          </cell>
          <cell r="I53">
            <v>0.0244778712148131</v>
          </cell>
          <cell r="J53">
            <v>0.19501472534039</v>
          </cell>
        </row>
        <row r="54">
          <cell r="A54" t="str">
            <v>68620bb30000000024008741</v>
          </cell>
          <cell r="B54" t="str">
            <v>挖到宝❗️初中生书包让“小老头”背出挺拔身</v>
          </cell>
          <cell r="C54">
            <v>137144</v>
          </cell>
          <cell r="D54">
            <v>14054</v>
          </cell>
          <cell r="E54">
            <v>10007</v>
          </cell>
          <cell r="F54">
            <v>806</v>
          </cell>
          <cell r="G54">
            <v>1219</v>
          </cell>
          <cell r="H54">
            <v>0.102476229364755</v>
          </cell>
          <cell r="I54">
            <v>0.0573502205777715</v>
          </cell>
          <cell r="J54">
            <v>0.121814729689218</v>
          </cell>
        </row>
        <row r="55">
          <cell r="A55" t="str">
            <v>6861ff6d0000000017031e37</v>
          </cell>
          <cell r="B55" t="str">
            <v>江浙沪妈妈养娃经：护脊书包选错毁孩子体态</v>
          </cell>
          <cell r="C55">
            <v>178313</v>
          </cell>
          <cell r="D55">
            <v>23947</v>
          </cell>
          <cell r="E55">
            <v>21389</v>
          </cell>
          <cell r="F55">
            <v>716</v>
          </cell>
          <cell r="G55">
            <v>2611</v>
          </cell>
          <cell r="H55">
            <v>0.134297555422207</v>
          </cell>
          <cell r="I55">
            <v>0.0298993610890717</v>
          </cell>
          <cell r="J55">
            <v>0.122072093131984</v>
          </cell>
        </row>
        <row r="56">
          <cell r="A56" t="str">
            <v>68621f7c000000000b01ed5a</v>
          </cell>
          <cell r="B56" t="str">
            <v>这初中生书包把「护脊 + 野趣」玩明白了👇</v>
          </cell>
          <cell r="C56">
            <v>93877</v>
          </cell>
          <cell r="D56">
            <v>7393</v>
          </cell>
          <cell r="E56">
            <v>6720</v>
          </cell>
          <cell r="F56">
            <v>325</v>
          </cell>
          <cell r="G56">
            <v>730</v>
          </cell>
          <cell r="H56">
            <v>0.0787519839790364</v>
          </cell>
          <cell r="I56">
            <v>0.0439605031786825</v>
          </cell>
          <cell r="J56">
            <v>0.108630952380952</v>
          </cell>
        </row>
        <row r="57">
          <cell r="A57" t="str">
            <v>686205f70000000022033695</v>
          </cell>
          <cell r="B57" t="str">
            <v>买晚了😭😭后悔才知道护脊书包能爆改体态</v>
          </cell>
          <cell r="C57">
            <v>82662</v>
          </cell>
          <cell r="D57">
            <v>7823</v>
          </cell>
          <cell r="E57">
            <v>4531</v>
          </cell>
          <cell r="F57">
            <v>592</v>
          </cell>
          <cell r="G57">
            <v>1248</v>
          </cell>
          <cell r="H57">
            <v>0.0946384070068472</v>
          </cell>
          <cell r="I57">
            <v>0.0756742937492011</v>
          </cell>
          <cell r="J57">
            <v>0.275435886117855</v>
          </cell>
        </row>
        <row r="58">
          <cell r="A58" t="str">
            <v>686207780000000012017b62</v>
          </cell>
          <cell r="B58" t="str">
            <v>小学生护脊训练要注意什么｜护脊书包&amp;心得</v>
          </cell>
          <cell r="C58">
            <v>49710</v>
          </cell>
          <cell r="D58">
            <v>3697</v>
          </cell>
          <cell r="E58">
            <v>3424</v>
          </cell>
          <cell r="F58">
            <v>78</v>
          </cell>
          <cell r="G58">
            <v>1069</v>
          </cell>
          <cell r="H58">
            <v>0.0743713538523436</v>
          </cell>
          <cell r="I58">
            <v>0.0210981877197728</v>
          </cell>
          <cell r="J58">
            <v>0.312207943925234</v>
          </cell>
        </row>
        <row r="59">
          <cell r="A59" t="str">
            <v>6861fd9c000000002201f51e</v>
          </cell>
          <cell r="B59" t="str">
            <v>选错书包＝害脊椎！护脊书包不是智商税</v>
          </cell>
          <cell r="C59">
            <v>71096</v>
          </cell>
          <cell r="D59">
            <v>12031</v>
          </cell>
          <cell r="E59">
            <v>10713</v>
          </cell>
          <cell r="F59">
            <v>344</v>
          </cell>
          <cell r="G59">
            <v>415</v>
          </cell>
          <cell r="H59">
            <v>0.169221897153145</v>
          </cell>
          <cell r="I59">
            <v>0.0285928019283518</v>
          </cell>
          <cell r="J59">
            <v>0.0387379818911603</v>
          </cell>
        </row>
        <row r="60">
          <cell r="A60" t="str">
            <v>6861fb3b000000002201e57e</v>
          </cell>
          <cell r="B60" t="str">
            <v>✨拆箱实录！挖到“高”定初中生书包啦～</v>
          </cell>
          <cell r="C60">
            <v>249581</v>
          </cell>
          <cell r="D60">
            <v>58375</v>
          </cell>
          <cell r="E60">
            <v>52942</v>
          </cell>
          <cell r="F60">
            <v>1036</v>
          </cell>
          <cell r="G60">
            <v>2890</v>
          </cell>
          <cell r="H60">
            <v>0.233892002997023</v>
          </cell>
          <cell r="I60">
            <v>0.0177473233404711</v>
          </cell>
          <cell r="J60">
            <v>0.054588039741604</v>
          </cell>
        </row>
        <row r="61">
          <cell r="A61" t="str">
            <v>6860dc540000000023005fbd</v>
          </cell>
          <cell r="B61" t="str">
            <v>跨国转学能适应吗？国际初中生书包怎么选？</v>
          </cell>
          <cell r="C61">
            <v>104372</v>
          </cell>
          <cell r="D61">
            <v>7707</v>
          </cell>
          <cell r="E61">
            <v>7301</v>
          </cell>
          <cell r="F61">
            <v>213</v>
          </cell>
          <cell r="G61">
            <v>2805</v>
          </cell>
          <cell r="H61">
            <v>0.0738416433526233</v>
          </cell>
          <cell r="I61">
            <v>0.0276372129233165</v>
          </cell>
          <cell r="J61">
            <v>0.38419394603479</v>
          </cell>
        </row>
        <row r="62">
          <cell r="A62" t="str">
            <v>6860ae9900000000240081b8</v>
          </cell>
          <cell r="B62" t="str">
            <v>孩子驼背，初中生书包换护脊的有用吗？</v>
          </cell>
          <cell r="C62">
            <v>36211</v>
          </cell>
          <cell r="D62">
            <v>3830</v>
          </cell>
          <cell r="E62">
            <v>2710</v>
          </cell>
          <cell r="F62">
            <v>412</v>
          </cell>
          <cell r="G62">
            <v>536</v>
          </cell>
          <cell r="H62">
            <v>0.105768965231559</v>
          </cell>
          <cell r="I62">
            <v>0.10757180156658</v>
          </cell>
          <cell r="J62">
            <v>0.197785977859779</v>
          </cell>
        </row>
        <row r="63">
          <cell r="A63" t="str">
            <v>68609b770000000024009804</v>
          </cell>
          <cell r="B63" t="str">
            <v>考试周的初中生书包✅沉到背不动？</v>
          </cell>
          <cell r="C63">
            <v>110876</v>
          </cell>
          <cell r="D63">
            <v>8707</v>
          </cell>
          <cell r="E63">
            <v>8090</v>
          </cell>
          <cell r="F63">
            <v>64</v>
          </cell>
          <cell r="G63">
            <v>3108</v>
          </cell>
          <cell r="H63">
            <v>0.0785291677188932</v>
          </cell>
          <cell r="I63">
            <v>0.0073504077179281</v>
          </cell>
          <cell r="J63">
            <v>0.384177997527812</v>
          </cell>
        </row>
        <row r="64">
          <cell r="A64" t="str">
            <v>6860b2ba000000002203f2c0</v>
          </cell>
          <cell r="B64" t="str">
            <v>可随身高调节的初中生书包是智商税吗？</v>
          </cell>
          <cell r="C64">
            <v>231644</v>
          </cell>
          <cell r="D64">
            <v>25196</v>
          </cell>
          <cell r="E64">
            <v>23143</v>
          </cell>
          <cell r="F64">
            <v>310</v>
          </cell>
          <cell r="G64">
            <v>4346</v>
          </cell>
          <cell r="H64">
            <v>0.108770354509506</v>
          </cell>
          <cell r="I64">
            <v>0.0123035402444833</v>
          </cell>
          <cell r="J64">
            <v>0.187788964265653</v>
          </cell>
        </row>
        <row r="65">
          <cell r="A65" t="str">
            <v>6860ac060000000010011302</v>
          </cell>
          <cell r="B65" t="str">
            <v>护脊书包避坑指南👀｜选错毁脊椎！</v>
          </cell>
          <cell r="C65">
            <v>34059</v>
          </cell>
          <cell r="D65">
            <v>3062</v>
          </cell>
          <cell r="E65">
            <v>2587</v>
          </cell>
          <cell r="F65">
            <v>186</v>
          </cell>
          <cell r="G65">
            <v>952</v>
          </cell>
          <cell r="H65">
            <v>0.0899028157021639</v>
          </cell>
          <cell r="I65">
            <v>0.0607446113651208</v>
          </cell>
          <cell r="J65">
            <v>0.367993815229996</v>
          </cell>
        </row>
        <row r="66">
          <cell r="A66" t="str">
            <v>685ff26e000000002201f348</v>
          </cell>
          <cell r="B66" t="str">
            <v>小升初|背上护脊书包，学习健康两抓手！</v>
          </cell>
          <cell r="C66">
            <v>121770</v>
          </cell>
          <cell r="D66">
            <v>13546</v>
          </cell>
          <cell r="E66">
            <v>12371</v>
          </cell>
          <cell r="F66">
            <v>299</v>
          </cell>
          <cell r="G66">
            <v>3443</v>
          </cell>
          <cell r="H66">
            <v>0.111242506364458</v>
          </cell>
          <cell r="I66">
            <v>0.0220729366602687</v>
          </cell>
          <cell r="J66">
            <v>0.278312181715302</v>
          </cell>
        </row>
        <row r="67">
          <cell r="A67" t="str">
            <v>685e8d3b000000001c031573</v>
          </cell>
          <cell r="B67" t="str">
            <v>儿子想要一个千元书包，该不该满足他？</v>
          </cell>
          <cell r="C67">
            <v>124336</v>
          </cell>
          <cell r="D67">
            <v>15191</v>
          </cell>
          <cell r="E67">
            <v>14260</v>
          </cell>
          <cell r="F67">
            <v>300</v>
          </cell>
          <cell r="G67">
            <v>1917</v>
          </cell>
          <cell r="H67">
            <v>0.122177004246558</v>
          </cell>
          <cell r="I67">
            <v>0.019748535316964</v>
          </cell>
          <cell r="J67">
            <v>0.134431977559607</v>
          </cell>
        </row>
        <row r="68">
          <cell r="A68" t="str">
            <v>685cdcac000000000d0274cc</v>
          </cell>
          <cell r="B68" t="str">
            <v>不是所有书包都护脊！一篇教你选对护脊书包</v>
          </cell>
          <cell r="C68">
            <v>278944</v>
          </cell>
          <cell r="D68">
            <v>28836</v>
          </cell>
          <cell r="E68">
            <v>26948</v>
          </cell>
          <cell r="F68">
            <v>280</v>
          </cell>
          <cell r="G68">
            <v>3448</v>
          </cell>
          <cell r="H68">
            <v>0.103375587931628</v>
          </cell>
          <cell r="I68">
            <v>0.00971008461645166</v>
          </cell>
          <cell r="J68">
            <v>0.127950126168918</v>
          </cell>
        </row>
      </sheetData>
      <sheetData sheetId="3"/>
      <sheetData sheetId="4"/>
      <sheetData sheetId="5"/>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8"/>
  <sheetViews>
    <sheetView tabSelected="1" workbookViewId="0">
      <selection activeCell="E2" sqref="E2"/>
    </sheetView>
  </sheetViews>
  <sheetFormatPr defaultColWidth="9" defaultRowHeight="13.5"/>
  <sheetData>
    <row r="1" ht="15" spans="1:20">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3" t="s">
        <v>17</v>
      </c>
      <c r="S1" s="4" t="s">
        <v>18</v>
      </c>
      <c r="T1" s="4" t="s">
        <v>19</v>
      </c>
    </row>
    <row r="2" ht="16.5" spans="1:20">
      <c r="A2" s="5" t="s">
        <v>20</v>
      </c>
      <c r="B2" s="6" t="s">
        <v>21</v>
      </c>
      <c r="C2" s="5" t="s">
        <v>22</v>
      </c>
      <c r="D2" s="5" t="s">
        <v>23</v>
      </c>
      <c r="E2" s="5">
        <f t="shared" ref="E2:E65" si="0">LEN(D2)</f>
        <v>854</v>
      </c>
      <c r="F2" s="6">
        <v>106</v>
      </c>
      <c r="G2" s="6">
        <v>83</v>
      </c>
      <c r="H2" s="6">
        <v>50</v>
      </c>
      <c r="I2" s="6">
        <v>7</v>
      </c>
      <c r="J2" s="6">
        <v>246</v>
      </c>
      <c r="K2" s="5" t="s">
        <v>24</v>
      </c>
      <c r="L2" s="5" t="s">
        <v>25</v>
      </c>
      <c r="M2" s="5" t="s">
        <v>26</v>
      </c>
      <c r="N2" s="5" t="s">
        <v>27</v>
      </c>
      <c r="O2" s="5" t="s">
        <v>28</v>
      </c>
      <c r="P2" s="5" t="s">
        <v>29</v>
      </c>
      <c r="Q2" s="5" t="s">
        <v>30</v>
      </c>
      <c r="R2" s="7">
        <f>VLOOKUP(A2,[1]蒲公英数据!A:H,8,0)</f>
        <v>0.0799190010124873</v>
      </c>
      <c r="S2" s="7">
        <f>VLOOKUP(A2,[1]蒲公英数据!A:I,9,0)</f>
        <v>0.150337837837838</v>
      </c>
      <c r="T2" s="7">
        <f>VLOOKUP(A2,[1]蒲公英数据!A:J,10,0)</f>
        <v>0.526590198123045</v>
      </c>
    </row>
    <row r="3" ht="16.5" spans="1:20">
      <c r="A3" s="5" t="s">
        <v>31</v>
      </c>
      <c r="B3" s="6" t="s">
        <v>21</v>
      </c>
      <c r="C3" s="5" t="s">
        <v>32</v>
      </c>
      <c r="D3" s="5" t="s">
        <v>33</v>
      </c>
      <c r="E3" s="5">
        <f t="shared" si="0"/>
        <v>859</v>
      </c>
      <c r="F3" s="6">
        <v>87</v>
      </c>
      <c r="G3" s="6">
        <v>40</v>
      </c>
      <c r="H3" s="6">
        <v>23</v>
      </c>
      <c r="I3" s="6">
        <v>6</v>
      </c>
      <c r="J3" s="6">
        <v>156</v>
      </c>
      <c r="K3" s="5" t="s">
        <v>34</v>
      </c>
      <c r="L3" s="5" t="s">
        <v>35</v>
      </c>
      <c r="M3" s="5" t="s">
        <v>36</v>
      </c>
      <c r="N3" s="5" t="s">
        <v>37</v>
      </c>
      <c r="O3" s="5" t="s">
        <v>38</v>
      </c>
      <c r="P3" s="5" t="s">
        <v>39</v>
      </c>
      <c r="Q3" s="5" t="s">
        <v>40</v>
      </c>
      <c r="R3" s="7">
        <f>VLOOKUP(A3,[1]蒲公英数据!A:H,8,0)</f>
        <v>0.105488810365135</v>
      </c>
      <c r="S3" s="7">
        <f>VLOOKUP(A3,[1]蒲公英数据!A:I,9,0)</f>
        <v>0.0357302367128182</v>
      </c>
      <c r="T3" s="7">
        <f>VLOOKUP(A3,[1]蒲公英数据!A:J,10,0)</f>
        <v>0.509326113116727</v>
      </c>
    </row>
    <row r="4" ht="16.5" spans="1:20">
      <c r="A4" s="5" t="s">
        <v>41</v>
      </c>
      <c r="B4" s="6" t="s">
        <v>21</v>
      </c>
      <c r="C4" s="5" t="s">
        <v>42</v>
      </c>
      <c r="D4" s="5" t="s">
        <v>43</v>
      </c>
      <c r="E4" s="5">
        <f t="shared" si="0"/>
        <v>928</v>
      </c>
      <c r="F4" s="6">
        <v>28</v>
      </c>
      <c r="G4" s="6">
        <v>14</v>
      </c>
      <c r="H4" s="6">
        <v>35</v>
      </c>
      <c r="I4" s="6">
        <v>10</v>
      </c>
      <c r="J4" s="6">
        <v>87</v>
      </c>
      <c r="K4" s="5" t="s">
        <v>44</v>
      </c>
      <c r="L4" s="5" t="s">
        <v>45</v>
      </c>
      <c r="M4" s="5" t="s">
        <v>46</v>
      </c>
      <c r="N4" s="5" t="s">
        <v>47</v>
      </c>
      <c r="O4" s="5" t="s">
        <v>48</v>
      </c>
      <c r="P4" s="5" t="s">
        <v>49</v>
      </c>
      <c r="Q4" s="5" t="s">
        <v>50</v>
      </c>
      <c r="R4" s="7">
        <f>VLOOKUP(A4,[1]蒲公英数据!A:H,8,0)</f>
        <v>0.0628605530137259</v>
      </c>
      <c r="S4" s="7">
        <f>VLOOKUP(A4,[1]蒲公英数据!A:I,9,0)</f>
        <v>0.0928270042194093</v>
      </c>
      <c r="T4" s="7">
        <f>VLOOKUP(A4,[1]蒲公英数据!A:J,10,0)</f>
        <v>0.457382953181273</v>
      </c>
    </row>
    <row r="5" ht="16.5" spans="1:20">
      <c r="A5" s="5" t="s">
        <v>51</v>
      </c>
      <c r="B5" s="6" t="s">
        <v>21</v>
      </c>
      <c r="C5" s="5" t="s">
        <v>52</v>
      </c>
      <c r="D5" s="5" t="s">
        <v>53</v>
      </c>
      <c r="E5" s="5">
        <f t="shared" si="0"/>
        <v>892</v>
      </c>
      <c r="F5" s="6">
        <v>16</v>
      </c>
      <c r="G5" s="6">
        <v>13</v>
      </c>
      <c r="H5" s="6">
        <v>11</v>
      </c>
      <c r="I5" s="6">
        <v>3</v>
      </c>
      <c r="J5" s="6">
        <v>43</v>
      </c>
      <c r="K5" s="5" t="s">
        <v>54</v>
      </c>
      <c r="L5" s="5" t="s">
        <v>55</v>
      </c>
      <c r="M5" s="5" t="s">
        <v>46</v>
      </c>
      <c r="N5" s="5" t="s">
        <v>56</v>
      </c>
      <c r="O5" s="5" t="s">
        <v>57</v>
      </c>
      <c r="P5" s="5" t="s">
        <v>58</v>
      </c>
      <c r="Q5" s="5" t="s">
        <v>50</v>
      </c>
      <c r="R5" s="7">
        <f>VLOOKUP(A5,[1]蒲公英数据!A:H,8,0)</f>
        <v>0.0610353270374257</v>
      </c>
      <c r="S5" s="7">
        <f>VLOOKUP(A5,[1]蒲公英数据!A:I,9,0)</f>
        <v>0.0429799426934097</v>
      </c>
      <c r="T5" s="7">
        <f>VLOOKUP(A5,[1]蒲公英数据!A:J,10,0)</f>
        <v>0.425465838509317</v>
      </c>
    </row>
    <row r="6" ht="16.5" spans="1:20">
      <c r="A6" s="5" t="s">
        <v>59</v>
      </c>
      <c r="B6" s="6" t="s">
        <v>21</v>
      </c>
      <c r="C6" s="5" t="s">
        <v>60</v>
      </c>
      <c r="D6" s="5" t="s">
        <v>61</v>
      </c>
      <c r="E6" s="5">
        <f t="shared" si="0"/>
        <v>917</v>
      </c>
      <c r="F6" s="6">
        <v>218</v>
      </c>
      <c r="G6" s="6">
        <v>76</v>
      </c>
      <c r="H6" s="6">
        <v>25</v>
      </c>
      <c r="I6" s="6">
        <v>14</v>
      </c>
      <c r="J6" s="6">
        <v>333</v>
      </c>
      <c r="K6" s="5" t="s">
        <v>62</v>
      </c>
      <c r="L6" s="5" t="s">
        <v>63</v>
      </c>
      <c r="M6" s="5" t="s">
        <v>64</v>
      </c>
      <c r="N6" s="5" t="s">
        <v>65</v>
      </c>
      <c r="O6" s="5" t="s">
        <v>66</v>
      </c>
      <c r="P6" s="5" t="s">
        <v>67</v>
      </c>
      <c r="Q6" s="5" t="s">
        <v>68</v>
      </c>
      <c r="R6" s="7">
        <f>VLOOKUP(A6,[1]蒲公英数据!A:H,8,0)</f>
        <v>0.102043049255988</v>
      </c>
      <c r="S6" s="7">
        <f>VLOOKUP(A6,[1]蒲公英数据!A:I,9,0)</f>
        <v>0.0339214348377035</v>
      </c>
      <c r="T6" s="7">
        <f>VLOOKUP(A6,[1]蒲公英数据!A:J,10,0)</f>
        <v>0.420920801526718</v>
      </c>
    </row>
    <row r="7" ht="16.5" spans="1:20">
      <c r="A7" s="5" t="s">
        <v>69</v>
      </c>
      <c r="B7" s="6" t="s">
        <v>21</v>
      </c>
      <c r="C7" s="5" t="s">
        <v>70</v>
      </c>
      <c r="D7" s="5" t="s">
        <v>71</v>
      </c>
      <c r="E7" s="5">
        <f t="shared" si="0"/>
        <v>860</v>
      </c>
      <c r="F7" s="6">
        <v>173</v>
      </c>
      <c r="G7" s="6">
        <v>83</v>
      </c>
      <c r="H7" s="6">
        <v>36</v>
      </c>
      <c r="I7" s="6">
        <v>1</v>
      </c>
      <c r="J7" s="6">
        <v>293</v>
      </c>
      <c r="K7" s="5" t="s">
        <v>72</v>
      </c>
      <c r="L7" s="5" t="s">
        <v>73</v>
      </c>
      <c r="M7" s="5" t="s">
        <v>74</v>
      </c>
      <c r="N7" s="5" t="s">
        <v>75</v>
      </c>
      <c r="O7" s="5" t="s">
        <v>76</v>
      </c>
      <c r="P7" s="5" t="s">
        <v>77</v>
      </c>
      <c r="Q7" s="5" t="s">
        <v>78</v>
      </c>
      <c r="R7" s="7">
        <f>VLOOKUP(A7,[1]蒲公英数据!A:H,8,0)</f>
        <v>0.0781223945305986</v>
      </c>
      <c r="S7" s="7">
        <f>VLOOKUP(A7,[1]蒲公英数据!A:I,9,0)</f>
        <v>0.0871575951618641</v>
      </c>
      <c r="T7" s="7">
        <f>VLOOKUP(A7,[1]蒲公英数据!A:J,10,0)</f>
        <v>0.412022817025011</v>
      </c>
    </row>
    <row r="8" ht="16.5" spans="1:20">
      <c r="A8" s="5" t="s">
        <v>79</v>
      </c>
      <c r="B8" s="6" t="s">
        <v>21</v>
      </c>
      <c r="C8" s="5" t="s">
        <v>80</v>
      </c>
      <c r="D8" s="5" t="s">
        <v>81</v>
      </c>
      <c r="E8" s="5">
        <f t="shared" si="0"/>
        <v>907</v>
      </c>
      <c r="F8" s="6">
        <v>221</v>
      </c>
      <c r="G8" s="6">
        <v>63</v>
      </c>
      <c r="H8" s="6">
        <v>10</v>
      </c>
      <c r="I8" s="6">
        <v>8</v>
      </c>
      <c r="J8" s="6">
        <v>302</v>
      </c>
      <c r="K8" s="5" t="s">
        <v>82</v>
      </c>
      <c r="L8" s="5" t="s">
        <v>83</v>
      </c>
      <c r="M8" s="5" t="s">
        <v>84</v>
      </c>
      <c r="N8" s="5" t="s">
        <v>85</v>
      </c>
      <c r="O8" s="5" t="s">
        <v>86</v>
      </c>
      <c r="P8" s="5" t="s">
        <v>87</v>
      </c>
      <c r="Q8" s="5" t="s">
        <v>78</v>
      </c>
      <c r="R8" s="7">
        <f>VLOOKUP(A8,[1]蒲公英数据!A:H,8,0)</f>
        <v>0.108830574912892</v>
      </c>
      <c r="S8" s="7">
        <f>VLOOKUP(A8,[1]蒲公英数据!A:I,9,0)</f>
        <v>0.0705352676338169</v>
      </c>
      <c r="T8" s="7">
        <f>VLOOKUP(A8,[1]蒲公英数据!A:J,10,0)</f>
        <v>0.399501661129568</v>
      </c>
    </row>
    <row r="9" ht="16.5" spans="1:20">
      <c r="A9" s="5" t="s">
        <v>88</v>
      </c>
      <c r="B9" s="6" t="s">
        <v>21</v>
      </c>
      <c r="C9" s="5" t="s">
        <v>89</v>
      </c>
      <c r="D9" s="5" t="s">
        <v>90</v>
      </c>
      <c r="E9" s="5">
        <f t="shared" si="0"/>
        <v>947</v>
      </c>
      <c r="F9" s="6">
        <v>46</v>
      </c>
      <c r="G9" s="6">
        <v>32</v>
      </c>
      <c r="H9" s="6" t="s">
        <v>91</v>
      </c>
      <c r="I9" s="6">
        <v>14</v>
      </c>
      <c r="J9" s="6">
        <v>108</v>
      </c>
      <c r="K9" s="5" t="s">
        <v>92</v>
      </c>
      <c r="L9" s="5" t="s">
        <v>93</v>
      </c>
      <c r="M9" s="5" t="s">
        <v>94</v>
      </c>
      <c r="N9" s="5" t="s">
        <v>95</v>
      </c>
      <c r="O9" s="5" t="s">
        <v>96</v>
      </c>
      <c r="P9" s="5" t="s">
        <v>97</v>
      </c>
      <c r="Q9" s="5" t="s">
        <v>98</v>
      </c>
      <c r="R9" s="7">
        <f>VLOOKUP(A9,[1]蒲公英数据!A:H,8,0)</f>
        <v>0.0837791111563104</v>
      </c>
      <c r="S9" s="7">
        <f>VLOOKUP(A9,[1]蒲公英数据!A:I,9,0)</f>
        <v>0.0134741442097597</v>
      </c>
      <c r="T9" s="7">
        <f>VLOOKUP(A9,[1]蒲公英数据!A:J,10,0)</f>
        <v>0.392597577388964</v>
      </c>
    </row>
    <row r="10" ht="16.5" spans="1:20">
      <c r="A10" s="5" t="s">
        <v>99</v>
      </c>
      <c r="B10" s="6" t="s">
        <v>21</v>
      </c>
      <c r="C10" s="5" t="s">
        <v>100</v>
      </c>
      <c r="D10" s="5" t="s">
        <v>101</v>
      </c>
      <c r="E10" s="5">
        <f t="shared" si="0"/>
        <v>967</v>
      </c>
      <c r="F10" s="6">
        <v>107</v>
      </c>
      <c r="G10" s="6">
        <v>75</v>
      </c>
      <c r="H10" s="6">
        <v>12</v>
      </c>
      <c r="I10" s="6">
        <v>15</v>
      </c>
      <c r="J10" s="6">
        <v>209</v>
      </c>
      <c r="K10" s="5" t="s">
        <v>102</v>
      </c>
      <c r="L10" s="5" t="s">
        <v>103</v>
      </c>
      <c r="M10" s="5" t="s">
        <v>36</v>
      </c>
      <c r="N10" s="5" t="s">
        <v>104</v>
      </c>
      <c r="O10" s="5" t="s">
        <v>105</v>
      </c>
      <c r="P10" s="5" t="s">
        <v>106</v>
      </c>
      <c r="Q10" s="5" t="s">
        <v>107</v>
      </c>
      <c r="R10" s="7">
        <f>VLOOKUP(A10,[1]蒲公英数据!A:H,8,0)</f>
        <v>0.0738416433526233</v>
      </c>
      <c r="S10" s="7">
        <f>VLOOKUP(A10,[1]蒲公英数据!A:I,9,0)</f>
        <v>0.0276372129233165</v>
      </c>
      <c r="T10" s="7">
        <f>VLOOKUP(A10,[1]蒲公英数据!A:J,10,0)</f>
        <v>0.38419394603479</v>
      </c>
    </row>
    <row r="11" ht="16.5" spans="1:20">
      <c r="A11" s="5" t="s">
        <v>108</v>
      </c>
      <c r="B11" s="6" t="s">
        <v>21</v>
      </c>
      <c r="C11" s="5" t="s">
        <v>109</v>
      </c>
      <c r="D11" s="5" t="s">
        <v>110</v>
      </c>
      <c r="E11" s="5">
        <f t="shared" si="0"/>
        <v>992</v>
      </c>
      <c r="F11" s="6">
        <v>40</v>
      </c>
      <c r="G11" s="6">
        <v>12</v>
      </c>
      <c r="H11" s="6">
        <v>6</v>
      </c>
      <c r="I11" s="6">
        <v>5</v>
      </c>
      <c r="J11" s="6">
        <v>63</v>
      </c>
      <c r="K11" s="5" t="s">
        <v>111</v>
      </c>
      <c r="L11" s="5" t="s">
        <v>112</v>
      </c>
      <c r="M11" s="5" t="s">
        <v>113</v>
      </c>
      <c r="N11" s="5" t="s">
        <v>114</v>
      </c>
      <c r="O11" s="5" t="s">
        <v>115</v>
      </c>
      <c r="P11" s="5" t="s">
        <v>116</v>
      </c>
      <c r="Q11" s="5" t="s">
        <v>107</v>
      </c>
      <c r="R11" s="7">
        <f>VLOOKUP(A11,[1]蒲公英数据!A:H,8,0)</f>
        <v>0.0785291677188932</v>
      </c>
      <c r="S11" s="7">
        <f>VLOOKUP(A11,[1]蒲公英数据!A:I,9,0)</f>
        <v>0.0073504077179281</v>
      </c>
      <c r="T11" s="7">
        <f>VLOOKUP(A11,[1]蒲公英数据!A:J,10,0)</f>
        <v>0.384177997527812</v>
      </c>
    </row>
    <row r="12" ht="16.5" spans="1:20">
      <c r="A12" s="5" t="s">
        <v>117</v>
      </c>
      <c r="B12" s="6" t="s">
        <v>21</v>
      </c>
      <c r="C12" s="5" t="s">
        <v>118</v>
      </c>
      <c r="D12" s="5" t="s">
        <v>119</v>
      </c>
      <c r="E12" s="5">
        <f t="shared" si="0"/>
        <v>1011</v>
      </c>
      <c r="F12" s="6">
        <v>113</v>
      </c>
      <c r="G12" s="6">
        <v>41</v>
      </c>
      <c r="H12" s="6">
        <v>26</v>
      </c>
      <c r="I12" s="6">
        <v>4</v>
      </c>
      <c r="J12" s="6">
        <v>184</v>
      </c>
      <c r="K12" s="5" t="s">
        <v>120</v>
      </c>
      <c r="L12" s="5" t="s">
        <v>121</v>
      </c>
      <c r="M12" s="5" t="s">
        <v>113</v>
      </c>
      <c r="N12" s="5" t="s">
        <v>122</v>
      </c>
      <c r="O12" s="5" t="s">
        <v>123</v>
      </c>
      <c r="P12" s="5" t="s">
        <v>124</v>
      </c>
      <c r="Q12" s="5" t="s">
        <v>125</v>
      </c>
      <c r="R12" s="7">
        <f>VLOOKUP(A12,[1]蒲公英数据!A:H,8,0)</f>
        <v>0.0899028157021639</v>
      </c>
      <c r="S12" s="7">
        <f>VLOOKUP(A12,[1]蒲公英数据!A:I,9,0)</f>
        <v>0.0607446113651208</v>
      </c>
      <c r="T12" s="7">
        <f>VLOOKUP(A12,[1]蒲公英数据!A:J,10,0)</f>
        <v>0.367993815229996</v>
      </c>
    </row>
    <row r="13" ht="16.5" spans="1:20">
      <c r="A13" s="5" t="s">
        <v>126</v>
      </c>
      <c r="B13" s="6" t="s">
        <v>21</v>
      </c>
      <c r="C13" s="5" t="s">
        <v>127</v>
      </c>
      <c r="D13" s="5" t="s">
        <v>128</v>
      </c>
      <c r="E13" s="5">
        <f t="shared" si="0"/>
        <v>960</v>
      </c>
      <c r="F13" s="6">
        <v>163</v>
      </c>
      <c r="G13" s="6">
        <v>88</v>
      </c>
      <c r="H13" s="6">
        <v>26</v>
      </c>
      <c r="I13" s="6">
        <v>11</v>
      </c>
      <c r="J13" s="6">
        <v>288</v>
      </c>
      <c r="K13" s="5" t="s">
        <v>129</v>
      </c>
      <c r="L13" s="5" t="s">
        <v>130</v>
      </c>
      <c r="M13" s="5" t="s">
        <v>131</v>
      </c>
      <c r="N13" s="5" t="s">
        <v>132</v>
      </c>
      <c r="O13" s="5" t="s">
        <v>133</v>
      </c>
      <c r="P13" s="5" t="s">
        <v>134</v>
      </c>
      <c r="Q13" s="5" t="s">
        <v>135</v>
      </c>
      <c r="R13" s="7">
        <f>VLOOKUP(A13,[1]蒲公英数据!A:H,8,0)</f>
        <v>0.100856344569832</v>
      </c>
      <c r="S13" s="7">
        <f>VLOOKUP(A13,[1]蒲公英数据!A:I,9,0)</f>
        <v>0.0570246447202734</v>
      </c>
      <c r="T13" s="7">
        <f>VLOOKUP(A13,[1]蒲公英数据!A:J,10,0)</f>
        <v>0.354456618300267</v>
      </c>
    </row>
    <row r="14" ht="16.5" spans="1:20">
      <c r="A14" s="5" t="s">
        <v>136</v>
      </c>
      <c r="B14" s="6" t="s">
        <v>21</v>
      </c>
      <c r="C14" s="5" t="s">
        <v>137</v>
      </c>
      <c r="D14" s="5" t="s">
        <v>138</v>
      </c>
      <c r="E14" s="5">
        <f t="shared" si="0"/>
        <v>234</v>
      </c>
      <c r="F14" s="6">
        <v>88</v>
      </c>
      <c r="G14" s="6">
        <v>36</v>
      </c>
      <c r="H14" s="6">
        <v>84</v>
      </c>
      <c r="I14" s="6">
        <v>9</v>
      </c>
      <c r="J14" s="6">
        <v>217</v>
      </c>
      <c r="K14" s="5"/>
      <c r="L14" s="5"/>
      <c r="M14" s="5"/>
      <c r="N14" s="5"/>
      <c r="O14" s="5"/>
      <c r="P14" s="5" t="s">
        <v>139</v>
      </c>
      <c r="Q14" s="5"/>
      <c r="R14" s="7">
        <f>VLOOKUP(A14,[1]蒲公英数据!A:H,8,0)</f>
        <v>0.0940612174257034</v>
      </c>
      <c r="S14" s="7">
        <f>VLOOKUP(A14,[1]蒲公英数据!A:I,9,0)</f>
        <v>0.0231311113447587</v>
      </c>
      <c r="T14" s="7">
        <f>VLOOKUP(A14,[1]蒲公英数据!A:J,10,0)</f>
        <v>0.350841750841751</v>
      </c>
    </row>
    <row r="15" ht="16.5" spans="1:20">
      <c r="A15" s="5" t="s">
        <v>140</v>
      </c>
      <c r="B15" s="6" t="s">
        <v>21</v>
      </c>
      <c r="C15" s="5" t="s">
        <v>141</v>
      </c>
      <c r="D15" s="5" t="s">
        <v>142</v>
      </c>
      <c r="E15" s="5">
        <f t="shared" si="0"/>
        <v>933</v>
      </c>
      <c r="F15" s="6">
        <v>34</v>
      </c>
      <c r="G15" s="6">
        <v>16</v>
      </c>
      <c r="H15" s="6">
        <v>11</v>
      </c>
      <c r="I15" s="6">
        <v>1</v>
      </c>
      <c r="J15" s="6">
        <v>62</v>
      </c>
      <c r="K15" s="5" t="s">
        <v>143</v>
      </c>
      <c r="L15" s="5" t="s">
        <v>144</v>
      </c>
      <c r="M15" s="5" t="s">
        <v>74</v>
      </c>
      <c r="N15" s="5" t="s">
        <v>145</v>
      </c>
      <c r="O15" s="5" t="s">
        <v>146</v>
      </c>
      <c r="P15" s="5" t="s">
        <v>147</v>
      </c>
      <c r="Q15" s="5" t="s">
        <v>78</v>
      </c>
      <c r="R15" s="7">
        <f>VLOOKUP(A15,[1]蒲公英数据!A:H,8,0)</f>
        <v>0.0634613383286502</v>
      </c>
      <c r="S15" s="7">
        <f>VLOOKUP(A15,[1]蒲公英数据!A:I,9,0)</f>
        <v>0.0183666775992129</v>
      </c>
      <c r="T15" s="7">
        <f>VLOOKUP(A15,[1]蒲公英数据!A:J,10,0)</f>
        <v>0.334854334854335</v>
      </c>
    </row>
    <row r="16" ht="16.5" spans="1:20">
      <c r="A16" s="5" t="s">
        <v>148</v>
      </c>
      <c r="B16" s="6" t="s">
        <v>21</v>
      </c>
      <c r="C16" s="5" t="s">
        <v>149</v>
      </c>
      <c r="D16" s="5" t="s">
        <v>150</v>
      </c>
      <c r="E16" s="5">
        <f t="shared" si="0"/>
        <v>232</v>
      </c>
      <c r="F16" s="6">
        <v>112</v>
      </c>
      <c r="G16" s="6">
        <v>98</v>
      </c>
      <c r="H16" s="6">
        <v>55</v>
      </c>
      <c r="I16" s="6">
        <v>26</v>
      </c>
      <c r="J16" s="6">
        <v>291</v>
      </c>
      <c r="K16" s="5" t="s">
        <v>151</v>
      </c>
      <c r="L16" s="5" t="s">
        <v>152</v>
      </c>
      <c r="M16" s="5" t="s">
        <v>153</v>
      </c>
      <c r="N16" s="5" t="s">
        <v>154</v>
      </c>
      <c r="O16" s="5" t="s">
        <v>155</v>
      </c>
      <c r="P16" s="5" t="s">
        <v>156</v>
      </c>
      <c r="Q16" s="5" t="s">
        <v>157</v>
      </c>
      <c r="R16" s="7">
        <f>VLOOKUP(A16,[1]蒲公英数据!A:H,8,0)</f>
        <v>0.119086842548279</v>
      </c>
      <c r="S16" s="7">
        <f>VLOOKUP(A16,[1]蒲公英数据!A:I,9,0)</f>
        <v>0.0140354420154491</v>
      </c>
      <c r="T16" s="7">
        <f>VLOOKUP(A16,[1]蒲公英数据!A:J,10,0)</f>
        <v>0.316330414921964</v>
      </c>
    </row>
    <row r="17" ht="16.5" spans="1:20">
      <c r="A17" s="5" t="s">
        <v>158</v>
      </c>
      <c r="B17" s="6" t="s">
        <v>21</v>
      </c>
      <c r="C17" s="5" t="s">
        <v>159</v>
      </c>
      <c r="D17" s="5" t="s">
        <v>160</v>
      </c>
      <c r="E17" s="5">
        <f t="shared" si="0"/>
        <v>933</v>
      </c>
      <c r="F17" s="6">
        <v>33</v>
      </c>
      <c r="G17" s="6">
        <v>27</v>
      </c>
      <c r="H17" s="6">
        <v>8</v>
      </c>
      <c r="I17" s="6">
        <v>6</v>
      </c>
      <c r="J17" s="6">
        <v>74</v>
      </c>
      <c r="K17" s="5" t="s">
        <v>161</v>
      </c>
      <c r="L17" s="5" t="s">
        <v>162</v>
      </c>
      <c r="M17" s="5" t="s">
        <v>64</v>
      </c>
      <c r="N17" s="5" t="s">
        <v>163</v>
      </c>
      <c r="O17" s="5" t="s">
        <v>164</v>
      </c>
      <c r="P17" s="5" t="s">
        <v>165</v>
      </c>
      <c r="Q17" s="5" t="s">
        <v>166</v>
      </c>
      <c r="R17" s="7">
        <f>VLOOKUP(A17,[1]蒲公英数据!A:H,8,0)</f>
        <v>0.0743713538523436</v>
      </c>
      <c r="S17" s="7">
        <f>VLOOKUP(A17,[1]蒲公英数据!A:I,9,0)</f>
        <v>0.0210981877197728</v>
      </c>
      <c r="T17" s="7">
        <f>VLOOKUP(A17,[1]蒲公英数据!A:J,10,0)</f>
        <v>0.312207943925234</v>
      </c>
    </row>
    <row r="18" ht="16.5" spans="1:20">
      <c r="A18" s="5" t="s">
        <v>167</v>
      </c>
      <c r="B18" s="6" t="s">
        <v>21</v>
      </c>
      <c r="C18" s="5" t="s">
        <v>168</v>
      </c>
      <c r="D18" s="5" t="s">
        <v>169</v>
      </c>
      <c r="E18" s="5">
        <f t="shared" si="0"/>
        <v>812</v>
      </c>
      <c r="F18" s="6">
        <v>117</v>
      </c>
      <c r="G18" s="6">
        <v>68</v>
      </c>
      <c r="H18" s="6">
        <v>11</v>
      </c>
      <c r="I18" s="6">
        <v>4</v>
      </c>
      <c r="J18" s="6">
        <v>200</v>
      </c>
      <c r="K18" s="5" t="s">
        <v>170</v>
      </c>
      <c r="L18" s="5" t="s">
        <v>171</v>
      </c>
      <c r="M18" s="5" t="s">
        <v>172</v>
      </c>
      <c r="N18" s="5" t="s">
        <v>173</v>
      </c>
      <c r="O18" s="5" t="s">
        <v>174</v>
      </c>
      <c r="P18" s="5" t="s">
        <v>175</v>
      </c>
      <c r="Q18" s="5" t="s">
        <v>176</v>
      </c>
      <c r="R18" s="7">
        <f>VLOOKUP(A18,[1]蒲公英数据!A:H,8,0)</f>
        <v>0.101478777668585</v>
      </c>
      <c r="S18" s="7">
        <f>VLOOKUP(A18,[1]蒲公英数据!A:I,9,0)</f>
        <v>0.0442702328798709</v>
      </c>
      <c r="T18" s="7">
        <f>VLOOKUP(A18,[1]蒲公英数据!A:J,10,0)</f>
        <v>0.308638996138996</v>
      </c>
    </row>
    <row r="19" ht="16.5" spans="1:20">
      <c r="A19" s="5" t="s">
        <v>177</v>
      </c>
      <c r="B19" s="6" t="s">
        <v>21</v>
      </c>
      <c r="C19" s="5" t="s">
        <v>178</v>
      </c>
      <c r="D19" s="5" t="s">
        <v>179</v>
      </c>
      <c r="E19" s="5">
        <f t="shared" si="0"/>
        <v>975</v>
      </c>
      <c r="F19" s="6">
        <v>174</v>
      </c>
      <c r="G19" s="6">
        <v>63</v>
      </c>
      <c r="H19" s="6">
        <v>31</v>
      </c>
      <c r="I19" s="6">
        <v>27</v>
      </c>
      <c r="J19" s="6">
        <v>295</v>
      </c>
      <c r="K19" s="5" t="s">
        <v>180</v>
      </c>
      <c r="L19" s="5" t="s">
        <v>181</v>
      </c>
      <c r="M19" s="5" t="s">
        <v>46</v>
      </c>
      <c r="N19" s="5" t="s">
        <v>182</v>
      </c>
      <c r="O19" s="5" t="s">
        <v>183</v>
      </c>
      <c r="P19" s="5" t="s">
        <v>184</v>
      </c>
      <c r="Q19" s="5" t="s">
        <v>185</v>
      </c>
      <c r="R19" s="7">
        <f>VLOOKUP(A19,[1]蒲公英数据!A:H,8,0)</f>
        <v>0.111242506364458</v>
      </c>
      <c r="S19" s="7">
        <f>VLOOKUP(A19,[1]蒲公英数据!A:I,9,0)</f>
        <v>0.0220729366602687</v>
      </c>
      <c r="T19" s="7">
        <f>VLOOKUP(A19,[1]蒲公英数据!A:J,10,0)</f>
        <v>0.278312181715302</v>
      </c>
    </row>
    <row r="20" ht="16.5" spans="1:20">
      <c r="A20" s="5" t="s">
        <v>186</v>
      </c>
      <c r="B20" s="6" t="s">
        <v>21</v>
      </c>
      <c r="C20" s="5" t="s">
        <v>187</v>
      </c>
      <c r="D20" s="5" t="s">
        <v>188</v>
      </c>
      <c r="E20" s="5">
        <f t="shared" si="0"/>
        <v>946</v>
      </c>
      <c r="F20" s="6">
        <v>372</v>
      </c>
      <c r="G20" s="6">
        <v>143</v>
      </c>
      <c r="H20" s="6">
        <v>8</v>
      </c>
      <c r="I20" s="6">
        <v>60</v>
      </c>
      <c r="J20" s="6">
        <v>583</v>
      </c>
      <c r="K20" s="5" t="s">
        <v>189</v>
      </c>
      <c r="L20" s="5" t="s">
        <v>190</v>
      </c>
      <c r="M20" s="5" t="s">
        <v>191</v>
      </c>
      <c r="N20" s="5" t="s">
        <v>192</v>
      </c>
      <c r="O20" s="5" t="s">
        <v>193</v>
      </c>
      <c r="P20" s="5" t="s">
        <v>194</v>
      </c>
      <c r="Q20" s="5" t="s">
        <v>107</v>
      </c>
      <c r="R20" s="7">
        <f>VLOOKUP(A20,[1]蒲公英数据!A:H,8,0)</f>
        <v>0.0946384070068472</v>
      </c>
      <c r="S20" s="7">
        <f>VLOOKUP(A20,[1]蒲公英数据!A:I,9,0)</f>
        <v>0.0756742937492011</v>
      </c>
      <c r="T20" s="7">
        <f>VLOOKUP(A20,[1]蒲公英数据!A:J,10,0)</f>
        <v>0.275435886117855</v>
      </c>
    </row>
    <row r="21" ht="16.5" spans="1:20">
      <c r="A21" s="5" t="s">
        <v>195</v>
      </c>
      <c r="B21" s="6" t="s">
        <v>21</v>
      </c>
      <c r="C21" s="5" t="s">
        <v>196</v>
      </c>
      <c r="D21" s="5" t="s">
        <v>197</v>
      </c>
      <c r="E21" s="5">
        <f t="shared" si="0"/>
        <v>898</v>
      </c>
      <c r="F21" s="6">
        <v>221</v>
      </c>
      <c r="G21" s="6">
        <v>169</v>
      </c>
      <c r="H21" s="6">
        <v>16</v>
      </c>
      <c r="I21" s="6">
        <v>22</v>
      </c>
      <c r="J21" s="6">
        <v>428</v>
      </c>
      <c r="K21" s="5" t="s">
        <v>198</v>
      </c>
      <c r="L21" s="5" t="s">
        <v>199</v>
      </c>
      <c r="M21" s="5" t="s">
        <v>64</v>
      </c>
      <c r="N21" s="5" t="s">
        <v>200</v>
      </c>
      <c r="O21" s="5" t="s">
        <v>201</v>
      </c>
      <c r="P21" s="5" t="s">
        <v>202</v>
      </c>
      <c r="Q21" s="5" t="s">
        <v>78</v>
      </c>
      <c r="R21" s="7">
        <f>VLOOKUP(A21,[1]蒲公英数据!A:H,8,0)</f>
        <v>0.12889980043359</v>
      </c>
      <c r="S21" s="7">
        <f>VLOOKUP(A21,[1]蒲公英数据!A:I,9,0)</f>
        <v>0.0475607039429717</v>
      </c>
      <c r="T21" s="7">
        <f>VLOOKUP(A21,[1]蒲公英数据!A:J,10,0)</f>
        <v>0.260189694950013</v>
      </c>
    </row>
    <row r="22" ht="16.5" spans="1:20">
      <c r="A22" s="5" t="s">
        <v>203</v>
      </c>
      <c r="B22" s="6" t="s">
        <v>21</v>
      </c>
      <c r="C22" s="5" t="s">
        <v>204</v>
      </c>
      <c r="D22" s="5" t="s">
        <v>205</v>
      </c>
      <c r="E22" s="5">
        <f t="shared" si="0"/>
        <v>800</v>
      </c>
      <c r="F22" s="6">
        <v>55</v>
      </c>
      <c r="G22" s="6">
        <v>23</v>
      </c>
      <c r="H22" s="6">
        <v>42</v>
      </c>
      <c r="I22" s="6">
        <v>3</v>
      </c>
      <c r="J22" s="6">
        <v>123</v>
      </c>
      <c r="K22" s="5" t="s">
        <v>206</v>
      </c>
      <c r="L22" s="5" t="s">
        <v>207</v>
      </c>
      <c r="M22" s="5" t="s">
        <v>84</v>
      </c>
      <c r="N22" s="5" t="s">
        <v>208</v>
      </c>
      <c r="O22" s="5" t="s">
        <v>209</v>
      </c>
      <c r="P22" s="5" t="s">
        <v>210</v>
      </c>
      <c r="Q22" s="5" t="s">
        <v>78</v>
      </c>
      <c r="R22" s="7">
        <f>VLOOKUP(A22,[1]蒲公英数据!A:H,8,0)</f>
        <v>0.0759978685071938</v>
      </c>
      <c r="S22" s="7">
        <f>VLOOKUP(A22,[1]蒲公英数据!A:I,9,0)</f>
        <v>0.0434056761268781</v>
      </c>
      <c r="T22" s="7">
        <f>VLOOKUP(A22,[1]蒲公英数据!A:J,10,0)</f>
        <v>0.24963556851312</v>
      </c>
    </row>
    <row r="23" ht="16.5" spans="1:20">
      <c r="A23" s="5" t="s">
        <v>211</v>
      </c>
      <c r="B23" s="6" t="s">
        <v>21</v>
      </c>
      <c r="C23" s="5" t="s">
        <v>212</v>
      </c>
      <c r="D23" s="5" t="s">
        <v>213</v>
      </c>
      <c r="E23" s="5">
        <f t="shared" si="0"/>
        <v>807</v>
      </c>
      <c r="F23" s="6">
        <v>28</v>
      </c>
      <c r="G23" s="6">
        <v>12</v>
      </c>
      <c r="H23" s="6">
        <v>10</v>
      </c>
      <c r="I23" s="6">
        <v>10</v>
      </c>
      <c r="J23" s="6">
        <v>60</v>
      </c>
      <c r="K23" s="5" t="s">
        <v>214</v>
      </c>
      <c r="L23" s="5" t="s">
        <v>215</v>
      </c>
      <c r="M23" s="5" t="s">
        <v>131</v>
      </c>
      <c r="N23" s="5" t="s">
        <v>216</v>
      </c>
      <c r="O23" s="5" t="s">
        <v>217</v>
      </c>
      <c r="P23" s="5" t="s">
        <v>218</v>
      </c>
      <c r="Q23" s="5" t="s">
        <v>78</v>
      </c>
      <c r="R23" s="7">
        <f>VLOOKUP(A23,[1]蒲公英数据!A:H,8,0)</f>
        <v>0.0876771448685379</v>
      </c>
      <c r="S23" s="7">
        <f>VLOOKUP(A23,[1]蒲公英数据!A:I,9,0)</f>
        <v>0.0109966835398848</v>
      </c>
      <c r="T23" s="7">
        <f>VLOOKUP(A23,[1]蒲公英数据!A:J,10,0)</f>
        <v>0.247725162488394</v>
      </c>
    </row>
    <row r="24" ht="16.5" spans="1:20">
      <c r="A24" s="5" t="s">
        <v>219</v>
      </c>
      <c r="B24" s="6" t="s">
        <v>21</v>
      </c>
      <c r="C24" s="5" t="s">
        <v>220</v>
      </c>
      <c r="D24" s="5" t="s">
        <v>221</v>
      </c>
      <c r="E24" s="5">
        <f t="shared" si="0"/>
        <v>776</v>
      </c>
      <c r="F24" s="6">
        <v>522</v>
      </c>
      <c r="G24" s="6">
        <v>120</v>
      </c>
      <c r="H24" s="6">
        <v>20</v>
      </c>
      <c r="I24" s="6">
        <v>21</v>
      </c>
      <c r="J24" s="6">
        <v>683</v>
      </c>
      <c r="K24" s="5" t="s">
        <v>222</v>
      </c>
      <c r="L24" s="5" t="s">
        <v>223</v>
      </c>
      <c r="M24" s="5" t="s">
        <v>224</v>
      </c>
      <c r="N24" s="5" t="s">
        <v>225</v>
      </c>
      <c r="O24" s="5" t="s">
        <v>226</v>
      </c>
      <c r="P24" s="5" t="s">
        <v>227</v>
      </c>
      <c r="Q24" s="5" t="s">
        <v>228</v>
      </c>
      <c r="R24" s="7">
        <f>VLOOKUP(A24,[1]蒲公英数据!A:H,8,0)</f>
        <v>0.20131653395526</v>
      </c>
      <c r="S24" s="7">
        <f>VLOOKUP(A24,[1]蒲公英数据!A:I,9,0)</f>
        <v>0.0486015903482314</v>
      </c>
      <c r="T24" s="7">
        <f>VLOOKUP(A24,[1]蒲公英数据!A:J,10,0)</f>
        <v>0.234737340274491</v>
      </c>
    </row>
    <row r="25" ht="16.5" spans="1:20">
      <c r="A25" s="5" t="s">
        <v>229</v>
      </c>
      <c r="B25" s="6" t="s">
        <v>21</v>
      </c>
      <c r="C25" s="5" t="s">
        <v>230</v>
      </c>
      <c r="D25" s="5" t="s">
        <v>231</v>
      </c>
      <c r="E25" s="5">
        <f t="shared" si="0"/>
        <v>967</v>
      </c>
      <c r="F25" s="6">
        <v>125</v>
      </c>
      <c r="G25" s="6">
        <v>75</v>
      </c>
      <c r="H25" s="6">
        <v>51</v>
      </c>
      <c r="I25" s="6">
        <v>3</v>
      </c>
      <c r="J25" s="6">
        <v>254</v>
      </c>
      <c r="K25" s="5" t="s">
        <v>232</v>
      </c>
      <c r="L25" s="5" t="s">
        <v>233</v>
      </c>
      <c r="M25" s="5" t="s">
        <v>64</v>
      </c>
      <c r="N25" s="5" t="s">
        <v>234</v>
      </c>
      <c r="O25" s="5" t="s">
        <v>235</v>
      </c>
      <c r="P25" s="5" t="s">
        <v>236</v>
      </c>
      <c r="Q25" s="5" t="s">
        <v>50</v>
      </c>
      <c r="R25" s="7">
        <f>VLOOKUP(A25,[1]蒲公英数据!A:H,8,0)</f>
        <v>0.106252924660739</v>
      </c>
      <c r="S25" s="7">
        <f>VLOOKUP(A25,[1]蒲公英数据!A:I,9,0)</f>
        <v>0.0696394164602257</v>
      </c>
      <c r="T25" s="7">
        <f>VLOOKUP(A25,[1]蒲公英数据!A:J,10,0)</f>
        <v>0.230276564774381</v>
      </c>
    </row>
    <row r="26" ht="16.5" spans="1:20">
      <c r="A26" s="5" t="s">
        <v>237</v>
      </c>
      <c r="B26" s="6" t="s">
        <v>21</v>
      </c>
      <c r="C26" s="5" t="s">
        <v>238</v>
      </c>
      <c r="D26" s="5" t="s">
        <v>239</v>
      </c>
      <c r="E26" s="5">
        <f t="shared" si="0"/>
        <v>886</v>
      </c>
      <c r="F26" s="6">
        <v>219</v>
      </c>
      <c r="G26" s="6">
        <v>97</v>
      </c>
      <c r="H26" s="6">
        <v>19</v>
      </c>
      <c r="I26" s="6">
        <v>24</v>
      </c>
      <c r="J26" s="6">
        <v>359</v>
      </c>
      <c r="K26" s="5" t="s">
        <v>240</v>
      </c>
      <c r="L26" s="5" t="s">
        <v>241</v>
      </c>
      <c r="M26" s="5" t="s">
        <v>64</v>
      </c>
      <c r="N26" s="5" t="s">
        <v>242</v>
      </c>
      <c r="O26" s="5" t="s">
        <v>243</v>
      </c>
      <c r="P26" s="5" t="s">
        <v>244</v>
      </c>
      <c r="Q26" s="5" t="s">
        <v>78</v>
      </c>
      <c r="R26" s="7">
        <f>VLOOKUP(A26,[1]蒲公英数据!A:H,8,0)</f>
        <v>0.107034789487368</v>
      </c>
      <c r="S26" s="7">
        <f>VLOOKUP(A26,[1]蒲公英数据!A:I,9,0)</f>
        <v>0.0189157062380485</v>
      </c>
      <c r="T26" s="7">
        <f>VLOOKUP(A26,[1]蒲公英数据!A:J,10,0)</f>
        <v>0.22678511565538</v>
      </c>
    </row>
    <row r="27" ht="16.5" spans="1:20">
      <c r="A27" s="5" t="s">
        <v>245</v>
      </c>
      <c r="B27" s="6" t="s">
        <v>21</v>
      </c>
      <c r="C27" s="5" t="s">
        <v>246</v>
      </c>
      <c r="D27" s="5" t="s">
        <v>247</v>
      </c>
      <c r="E27" s="5">
        <f t="shared" si="0"/>
        <v>230</v>
      </c>
      <c r="F27" s="6">
        <v>16</v>
      </c>
      <c r="G27" s="6">
        <v>2</v>
      </c>
      <c r="H27" s="6">
        <v>18</v>
      </c>
      <c r="I27" s="6">
        <v>0</v>
      </c>
      <c r="J27" s="6">
        <v>36</v>
      </c>
      <c r="K27" s="5" t="s">
        <v>248</v>
      </c>
      <c r="L27" s="5" t="s">
        <v>249</v>
      </c>
      <c r="M27" s="5" t="s">
        <v>250</v>
      </c>
      <c r="N27" s="5" t="s">
        <v>251</v>
      </c>
      <c r="O27" s="5" t="s">
        <v>252</v>
      </c>
      <c r="P27" s="5" t="s">
        <v>253</v>
      </c>
      <c r="Q27" s="5" t="s">
        <v>254</v>
      </c>
      <c r="R27" s="7">
        <f>VLOOKUP(A27,[1]蒲公英数据!A:H,8,0)</f>
        <v>0.0933642614530693</v>
      </c>
      <c r="S27" s="7">
        <f>VLOOKUP(A27,[1]蒲公英数据!A:I,9,0)</f>
        <v>0.0372670807453416</v>
      </c>
      <c r="T27" s="7">
        <f>VLOOKUP(A27,[1]蒲公英数据!A:J,10,0)</f>
        <v>0.226680040120361</v>
      </c>
    </row>
    <row r="28" ht="16.5" spans="1:20">
      <c r="A28" s="5" t="s">
        <v>255</v>
      </c>
      <c r="B28" s="6" t="s">
        <v>21</v>
      </c>
      <c r="C28" s="5" t="s">
        <v>256</v>
      </c>
      <c r="D28" s="5" t="s">
        <v>257</v>
      </c>
      <c r="E28" s="5">
        <f t="shared" si="0"/>
        <v>883</v>
      </c>
      <c r="F28" s="6">
        <v>178</v>
      </c>
      <c r="G28" s="6">
        <v>74</v>
      </c>
      <c r="H28" s="6">
        <v>73</v>
      </c>
      <c r="I28" s="6">
        <v>7</v>
      </c>
      <c r="J28" s="6">
        <v>332</v>
      </c>
      <c r="K28" s="5" t="s">
        <v>258</v>
      </c>
      <c r="L28" s="5" t="s">
        <v>259</v>
      </c>
      <c r="M28" s="5" t="s">
        <v>191</v>
      </c>
      <c r="N28" s="5" t="s">
        <v>260</v>
      </c>
      <c r="O28" s="5" t="s">
        <v>261</v>
      </c>
      <c r="P28" s="5" t="s">
        <v>262</v>
      </c>
      <c r="Q28" s="5" t="s">
        <v>78</v>
      </c>
      <c r="R28" s="7">
        <f>VLOOKUP(A28,[1]蒲公英数据!A:H,8,0)</f>
        <v>0.103059936908517</v>
      </c>
      <c r="S28" s="7">
        <f>VLOOKUP(A28,[1]蒲公英数据!A:I,9,0)</f>
        <v>0.0342822161003979</v>
      </c>
      <c r="T28" s="7">
        <f>VLOOKUP(A28,[1]蒲公英数据!A:J,10,0)</f>
        <v>0.222886540600667</v>
      </c>
    </row>
    <row r="29" ht="16.5" spans="1:20">
      <c r="A29" s="5" t="s">
        <v>263</v>
      </c>
      <c r="B29" s="6" t="s">
        <v>21</v>
      </c>
      <c r="C29" s="5" t="s">
        <v>264</v>
      </c>
      <c r="D29" s="5" t="s">
        <v>265</v>
      </c>
      <c r="E29" s="5">
        <f t="shared" si="0"/>
        <v>101</v>
      </c>
      <c r="F29" s="6">
        <v>55</v>
      </c>
      <c r="G29" s="6">
        <v>39</v>
      </c>
      <c r="H29" s="6">
        <v>41</v>
      </c>
      <c r="I29" s="6">
        <v>29</v>
      </c>
      <c r="J29" s="6">
        <v>164</v>
      </c>
      <c r="K29" s="5" t="s">
        <v>266</v>
      </c>
      <c r="L29" s="5" t="s">
        <v>267</v>
      </c>
      <c r="M29" s="5" t="s">
        <v>172</v>
      </c>
      <c r="N29" s="5" t="s">
        <v>268</v>
      </c>
      <c r="O29" s="5" t="s">
        <v>269</v>
      </c>
      <c r="P29" s="5" t="s">
        <v>270</v>
      </c>
      <c r="Q29" s="5" t="s">
        <v>271</v>
      </c>
      <c r="R29" s="7">
        <f>VLOOKUP(A29,[1]蒲公英数据!A:H,8,0)</f>
        <v>0.117592635425822</v>
      </c>
      <c r="S29" s="7">
        <f>VLOOKUP(A29,[1]蒲公英数据!A:I,9,0)</f>
        <v>0.0633359559402046</v>
      </c>
      <c r="T29" s="7">
        <f>VLOOKUP(A29,[1]蒲公英数据!A:J,10,0)</f>
        <v>0.212707182320442</v>
      </c>
    </row>
    <row r="30" ht="16.5" spans="1:20">
      <c r="A30" s="5" t="s">
        <v>272</v>
      </c>
      <c r="B30" s="6" t="s">
        <v>21</v>
      </c>
      <c r="C30" s="5" t="s">
        <v>273</v>
      </c>
      <c r="D30" s="5" t="s">
        <v>274</v>
      </c>
      <c r="E30" s="5">
        <f t="shared" si="0"/>
        <v>968</v>
      </c>
      <c r="F30" s="6">
        <v>117</v>
      </c>
      <c r="G30" s="6">
        <v>94</v>
      </c>
      <c r="H30" s="6">
        <v>14</v>
      </c>
      <c r="I30" s="6">
        <v>16</v>
      </c>
      <c r="J30" s="6">
        <v>241</v>
      </c>
      <c r="K30" s="5" t="s">
        <v>275</v>
      </c>
      <c r="L30" s="5" t="s">
        <v>276</v>
      </c>
      <c r="M30" s="5" t="s">
        <v>26</v>
      </c>
      <c r="N30" s="5" t="s">
        <v>277</v>
      </c>
      <c r="O30" s="5" t="s">
        <v>278</v>
      </c>
      <c r="P30" s="5" t="s">
        <v>279</v>
      </c>
      <c r="Q30" s="5" t="s">
        <v>78</v>
      </c>
      <c r="R30" s="7">
        <f>VLOOKUP(A30,[1]蒲公英数据!A:H,8,0)</f>
        <v>0.0656109914420446</v>
      </c>
      <c r="S30" s="7">
        <f>VLOOKUP(A30,[1]蒲公英数据!A:I,9,0)</f>
        <v>0.0638864241348713</v>
      </c>
      <c r="T30" s="7">
        <f>VLOOKUP(A30,[1]蒲公英数据!A:J,10,0)</f>
        <v>0.198485326601452</v>
      </c>
    </row>
    <row r="31" ht="16.5" spans="1:20">
      <c r="A31" s="5" t="s">
        <v>280</v>
      </c>
      <c r="B31" s="6" t="s">
        <v>21</v>
      </c>
      <c r="C31" s="5" t="s">
        <v>281</v>
      </c>
      <c r="D31" s="5" t="s">
        <v>282</v>
      </c>
      <c r="E31" s="5">
        <f t="shared" si="0"/>
        <v>967</v>
      </c>
      <c r="F31" s="6">
        <v>247</v>
      </c>
      <c r="G31" s="6">
        <v>140</v>
      </c>
      <c r="H31" s="6">
        <v>7</v>
      </c>
      <c r="I31" s="6">
        <v>4</v>
      </c>
      <c r="J31" s="6">
        <v>398</v>
      </c>
      <c r="K31" s="5" t="s">
        <v>283</v>
      </c>
      <c r="L31" s="5" t="s">
        <v>284</v>
      </c>
      <c r="M31" s="5" t="s">
        <v>46</v>
      </c>
      <c r="N31" s="5" t="s">
        <v>285</v>
      </c>
      <c r="O31" s="5" t="s">
        <v>286</v>
      </c>
      <c r="P31" s="5" t="s">
        <v>287</v>
      </c>
      <c r="Q31" s="5" t="s">
        <v>288</v>
      </c>
      <c r="R31" s="7">
        <f>VLOOKUP(A31,[1]蒲公英数据!A:H,8,0)</f>
        <v>0.105768965231559</v>
      </c>
      <c r="S31" s="7">
        <f>VLOOKUP(A31,[1]蒲公英数据!A:I,9,0)</f>
        <v>0.10757180156658</v>
      </c>
      <c r="T31" s="7">
        <f>VLOOKUP(A31,[1]蒲公英数据!A:J,10,0)</f>
        <v>0.197785977859779</v>
      </c>
    </row>
    <row r="32" ht="16.5" spans="1:20">
      <c r="A32" s="5" t="s">
        <v>289</v>
      </c>
      <c r="B32" s="6" t="s">
        <v>21</v>
      </c>
      <c r="C32" s="5" t="s">
        <v>290</v>
      </c>
      <c r="D32" s="5" t="s">
        <v>291</v>
      </c>
      <c r="E32" s="5">
        <f t="shared" si="0"/>
        <v>930</v>
      </c>
      <c r="F32" s="6">
        <v>354</v>
      </c>
      <c r="G32" s="6">
        <v>172</v>
      </c>
      <c r="H32" s="6">
        <v>37</v>
      </c>
      <c r="I32" s="6">
        <v>19</v>
      </c>
      <c r="J32" s="6">
        <v>582</v>
      </c>
      <c r="K32" s="5" t="s">
        <v>292</v>
      </c>
      <c r="L32" s="5" t="s">
        <v>293</v>
      </c>
      <c r="M32" s="5" t="s">
        <v>250</v>
      </c>
      <c r="N32" s="5" t="s">
        <v>294</v>
      </c>
      <c r="O32" s="5" t="s">
        <v>295</v>
      </c>
      <c r="P32" s="5" t="s">
        <v>296</v>
      </c>
      <c r="Q32" s="5" t="s">
        <v>297</v>
      </c>
      <c r="R32" s="7">
        <f>VLOOKUP(A32,[1]蒲公英数据!A:H,8,0)</f>
        <v>0.133131149608948</v>
      </c>
      <c r="S32" s="7">
        <f>VLOOKUP(A32,[1]蒲公英数据!A:I,9,0)</f>
        <v>0.0244778712148131</v>
      </c>
      <c r="T32" s="7">
        <f>VLOOKUP(A32,[1]蒲公英数据!A:J,10,0)</f>
        <v>0.19501472534039</v>
      </c>
    </row>
    <row r="33" ht="16.5" spans="1:20">
      <c r="A33" s="5" t="s">
        <v>298</v>
      </c>
      <c r="B33" s="6" t="s">
        <v>21</v>
      </c>
      <c r="C33" s="5" t="s">
        <v>299</v>
      </c>
      <c r="D33" s="5" t="s">
        <v>300</v>
      </c>
      <c r="E33" s="5">
        <f t="shared" si="0"/>
        <v>817</v>
      </c>
      <c r="F33" s="6">
        <v>302</v>
      </c>
      <c r="G33" s="6">
        <v>114</v>
      </c>
      <c r="H33" s="6">
        <v>21</v>
      </c>
      <c r="I33" s="6">
        <v>26</v>
      </c>
      <c r="J33" s="6">
        <v>463</v>
      </c>
      <c r="K33" s="5" t="s">
        <v>301</v>
      </c>
      <c r="L33" s="5" t="s">
        <v>302</v>
      </c>
      <c r="M33" s="5" t="s">
        <v>36</v>
      </c>
      <c r="N33" s="5" t="s">
        <v>303</v>
      </c>
      <c r="O33" s="5" t="s">
        <v>304</v>
      </c>
      <c r="P33" s="5" t="s">
        <v>305</v>
      </c>
      <c r="Q33" s="5" t="s">
        <v>78</v>
      </c>
      <c r="R33" s="7">
        <f>VLOOKUP(A33,[1]蒲公英数据!A:H,8,0)</f>
        <v>0.238174799792591</v>
      </c>
      <c r="S33" s="7">
        <f>VLOOKUP(A33,[1]蒲公英数据!A:I,9,0)</f>
        <v>0.0729317851959361</v>
      </c>
      <c r="T33" s="7">
        <f>VLOOKUP(A33,[1]蒲公英数据!A:J,10,0)</f>
        <v>0.188210526315789</v>
      </c>
    </row>
    <row r="34" ht="16.5" spans="1:20">
      <c r="A34" s="5" t="s">
        <v>306</v>
      </c>
      <c r="B34" s="6" t="s">
        <v>21</v>
      </c>
      <c r="C34" s="5" t="s">
        <v>307</v>
      </c>
      <c r="D34" s="5" t="s">
        <v>308</v>
      </c>
      <c r="E34" s="5">
        <f t="shared" si="0"/>
        <v>982</v>
      </c>
      <c r="F34" s="6">
        <v>194</v>
      </c>
      <c r="G34" s="6">
        <v>78</v>
      </c>
      <c r="H34" s="6">
        <v>16</v>
      </c>
      <c r="I34" s="6">
        <v>11</v>
      </c>
      <c r="J34" s="6">
        <v>299</v>
      </c>
      <c r="K34" s="5" t="s">
        <v>309</v>
      </c>
      <c r="L34" s="5" t="s">
        <v>310</v>
      </c>
      <c r="M34" s="5" t="s">
        <v>84</v>
      </c>
      <c r="N34" s="5" t="s">
        <v>311</v>
      </c>
      <c r="O34" s="5" t="s">
        <v>312</v>
      </c>
      <c r="P34" s="5" t="s">
        <v>313</v>
      </c>
      <c r="Q34" s="5" t="s">
        <v>314</v>
      </c>
      <c r="R34" s="7">
        <f>VLOOKUP(A34,[1]蒲公英数据!A:H,8,0)</f>
        <v>0.108770354509506</v>
      </c>
      <c r="S34" s="7">
        <f>VLOOKUP(A34,[1]蒲公英数据!A:I,9,0)</f>
        <v>0.0123035402444833</v>
      </c>
      <c r="T34" s="7">
        <f>VLOOKUP(A34,[1]蒲公英数据!A:J,10,0)</f>
        <v>0.187788964265653</v>
      </c>
    </row>
    <row r="35" ht="16.5" spans="1:20">
      <c r="A35" s="5" t="s">
        <v>315</v>
      </c>
      <c r="B35" s="6" t="s">
        <v>21</v>
      </c>
      <c r="C35" s="5" t="s">
        <v>316</v>
      </c>
      <c r="D35" s="5" t="s">
        <v>317</v>
      </c>
      <c r="E35" s="5">
        <f t="shared" si="0"/>
        <v>762</v>
      </c>
      <c r="F35" s="6">
        <v>141</v>
      </c>
      <c r="G35" s="6">
        <v>99</v>
      </c>
      <c r="H35" s="6">
        <v>31</v>
      </c>
      <c r="I35" s="6">
        <v>12</v>
      </c>
      <c r="J35" s="6">
        <v>283</v>
      </c>
      <c r="K35" s="5" t="s">
        <v>318</v>
      </c>
      <c r="L35" s="5" t="s">
        <v>319</v>
      </c>
      <c r="M35" s="5" t="s">
        <v>320</v>
      </c>
      <c r="N35" s="5" t="s">
        <v>321</v>
      </c>
      <c r="O35" s="5" t="s">
        <v>322</v>
      </c>
      <c r="P35" s="5" t="s">
        <v>323</v>
      </c>
      <c r="Q35" s="5" t="s">
        <v>324</v>
      </c>
      <c r="R35" s="7">
        <f>VLOOKUP(A35,[1]蒲公英数据!A:H,8,0)</f>
        <v>0.197413712903526</v>
      </c>
      <c r="S35" s="7">
        <f>VLOOKUP(A35,[1]蒲公英数据!A:I,9,0)</f>
        <v>0.0697455230914232</v>
      </c>
      <c r="T35" s="7">
        <f>VLOOKUP(A35,[1]蒲公英数据!A:J,10,0)</f>
        <v>0.185814455231931</v>
      </c>
    </row>
    <row r="36" ht="16.5" spans="1:20">
      <c r="A36" s="5" t="s">
        <v>325</v>
      </c>
      <c r="B36" s="6" t="s">
        <v>21</v>
      </c>
      <c r="C36" s="5" t="s">
        <v>326</v>
      </c>
      <c r="D36" s="5" t="s">
        <v>327</v>
      </c>
      <c r="E36" s="5">
        <f t="shared" si="0"/>
        <v>877</v>
      </c>
      <c r="F36" s="6">
        <v>1112</v>
      </c>
      <c r="G36" s="6">
        <v>150</v>
      </c>
      <c r="H36" s="6">
        <v>12</v>
      </c>
      <c r="I36" s="6">
        <v>9</v>
      </c>
      <c r="J36" s="6">
        <v>1283</v>
      </c>
      <c r="K36" s="5" t="s">
        <v>328</v>
      </c>
      <c r="L36" s="5" t="s">
        <v>329</v>
      </c>
      <c r="M36" s="5" t="s">
        <v>330</v>
      </c>
      <c r="N36" s="5" t="s">
        <v>331</v>
      </c>
      <c r="O36" s="5" t="s">
        <v>332</v>
      </c>
      <c r="P36" s="5" t="s">
        <v>333</v>
      </c>
      <c r="Q36" s="5" t="s">
        <v>78</v>
      </c>
      <c r="R36" s="7">
        <f>VLOOKUP(A36,[1]蒲公英数据!A:H,8,0)</f>
        <v>0.187141644451725</v>
      </c>
      <c r="S36" s="7">
        <f>VLOOKUP(A36,[1]蒲公英数据!A:I,9,0)</f>
        <v>0.104249562310998</v>
      </c>
      <c r="T36" s="7">
        <f>VLOOKUP(A36,[1]蒲公英数据!A:J,10,0)</f>
        <v>0.184317454828391</v>
      </c>
    </row>
    <row r="37" ht="16.5" spans="1:20">
      <c r="A37" s="5" t="s">
        <v>334</v>
      </c>
      <c r="B37" s="6" t="s">
        <v>21</v>
      </c>
      <c r="C37" s="5" t="s">
        <v>335</v>
      </c>
      <c r="D37" s="5" t="s">
        <v>336</v>
      </c>
      <c r="E37" s="5">
        <f t="shared" si="0"/>
        <v>985</v>
      </c>
      <c r="F37" s="6">
        <v>543</v>
      </c>
      <c r="G37" s="6">
        <v>132</v>
      </c>
      <c r="H37" s="6">
        <v>49</v>
      </c>
      <c r="I37" s="6">
        <v>21</v>
      </c>
      <c r="J37" s="6">
        <v>745</v>
      </c>
      <c r="K37" s="5" t="s">
        <v>337</v>
      </c>
      <c r="L37" s="5" t="s">
        <v>338</v>
      </c>
      <c r="M37" s="5" t="s">
        <v>172</v>
      </c>
      <c r="N37" s="5" t="s">
        <v>339</v>
      </c>
      <c r="O37" s="5" t="s">
        <v>340</v>
      </c>
      <c r="P37" s="5" t="s">
        <v>341</v>
      </c>
      <c r="Q37" s="5" t="s">
        <v>342</v>
      </c>
      <c r="R37" s="7">
        <f>VLOOKUP(A37,[1]蒲公英数据!A:H,8,0)</f>
        <v>0.160643688114346</v>
      </c>
      <c r="S37" s="7">
        <f>VLOOKUP(A37,[1]蒲公英数据!A:I,9,0)</f>
        <v>0.0245138933453122</v>
      </c>
      <c r="T37" s="7">
        <f>VLOOKUP(A37,[1]蒲公英数据!A:J,10,0)</f>
        <v>0.182908070937387</v>
      </c>
    </row>
    <row r="38" ht="16.5" spans="1:20">
      <c r="A38" s="5" t="s">
        <v>343</v>
      </c>
      <c r="B38" s="6" t="s">
        <v>21</v>
      </c>
      <c r="C38" s="5" t="s">
        <v>344</v>
      </c>
      <c r="D38" s="5" t="s">
        <v>345</v>
      </c>
      <c r="E38" s="5">
        <f t="shared" si="0"/>
        <v>249</v>
      </c>
      <c r="F38" s="6">
        <v>111</v>
      </c>
      <c r="G38" s="6">
        <v>68</v>
      </c>
      <c r="H38" s="6">
        <v>55</v>
      </c>
      <c r="I38" s="6">
        <v>34</v>
      </c>
      <c r="J38" s="6">
        <v>268</v>
      </c>
      <c r="K38" s="5"/>
      <c r="L38" s="5"/>
      <c r="M38" s="5"/>
      <c r="N38" s="5"/>
      <c r="O38" s="5"/>
      <c r="P38" s="5" t="s">
        <v>346</v>
      </c>
      <c r="Q38" s="5"/>
      <c r="R38" s="7">
        <f>VLOOKUP(A38,[1]蒲公英数据!A:H,8,0)</f>
        <v>0.129556284323171</v>
      </c>
      <c r="S38" s="7">
        <f>VLOOKUP(A38,[1]蒲公英数据!A:I,9,0)</f>
        <v>0.00688532799198798</v>
      </c>
      <c r="T38" s="7">
        <f>VLOOKUP(A38,[1]蒲公英数据!A:J,10,0)</f>
        <v>0.17954141857307</v>
      </c>
    </row>
    <row r="39" ht="16.5" spans="1:20">
      <c r="A39" s="5" t="s">
        <v>347</v>
      </c>
      <c r="B39" s="6" t="s">
        <v>21</v>
      </c>
      <c r="C39" s="5" t="s">
        <v>348</v>
      </c>
      <c r="D39" s="5" t="s">
        <v>349</v>
      </c>
      <c r="E39" s="5">
        <f t="shared" si="0"/>
        <v>869</v>
      </c>
      <c r="F39" s="6">
        <v>210</v>
      </c>
      <c r="G39" s="6">
        <v>91</v>
      </c>
      <c r="H39" s="6">
        <v>24</v>
      </c>
      <c r="I39" s="6">
        <v>52</v>
      </c>
      <c r="J39" s="6">
        <v>377</v>
      </c>
      <c r="K39" s="5" t="s">
        <v>350</v>
      </c>
      <c r="L39" s="5" t="s">
        <v>351</v>
      </c>
      <c r="M39" s="5" t="s">
        <v>330</v>
      </c>
      <c r="N39" s="5" t="s">
        <v>352</v>
      </c>
      <c r="O39" s="5" t="s">
        <v>353</v>
      </c>
      <c r="P39" s="5" t="s">
        <v>354</v>
      </c>
      <c r="Q39" s="5" t="s">
        <v>78</v>
      </c>
      <c r="R39" s="7">
        <f>VLOOKUP(A39,[1]蒲公英数据!A:H,8,0)</f>
        <v>0.101541540689009</v>
      </c>
      <c r="S39" s="7">
        <f>VLOOKUP(A39,[1]蒲公英数据!A:I,9,0)</f>
        <v>0.0269798000978542</v>
      </c>
      <c r="T39" s="7">
        <f>VLOOKUP(A39,[1]蒲公英数据!A:J,10,0)</f>
        <v>0.176912206323971</v>
      </c>
    </row>
    <row r="40" ht="16.5" spans="1:20">
      <c r="A40" s="5" t="s">
        <v>355</v>
      </c>
      <c r="B40" s="6" t="s">
        <v>21</v>
      </c>
      <c r="C40" s="5" t="s">
        <v>356</v>
      </c>
      <c r="D40" s="5" t="s">
        <v>357</v>
      </c>
      <c r="E40" s="5">
        <f t="shared" si="0"/>
        <v>931</v>
      </c>
      <c r="F40" s="6">
        <v>67</v>
      </c>
      <c r="G40" s="6">
        <v>21</v>
      </c>
      <c r="H40" s="6">
        <v>14</v>
      </c>
      <c r="I40" s="6">
        <v>10</v>
      </c>
      <c r="J40" s="6">
        <v>112</v>
      </c>
      <c r="K40" s="5" t="s">
        <v>358</v>
      </c>
      <c r="L40" s="5" t="s">
        <v>359</v>
      </c>
      <c r="M40" s="5" t="s">
        <v>131</v>
      </c>
      <c r="N40" s="5" t="s">
        <v>360</v>
      </c>
      <c r="O40" s="5" t="s">
        <v>361</v>
      </c>
      <c r="P40" s="5" t="s">
        <v>362</v>
      </c>
      <c r="Q40" s="5" t="s">
        <v>107</v>
      </c>
      <c r="R40" s="7">
        <f>VLOOKUP(A40,[1]蒲公英数据!A:H,8,0)</f>
        <v>0.104448701024168</v>
      </c>
      <c r="S40" s="7">
        <f>VLOOKUP(A40,[1]蒲公英数据!A:I,9,0)</f>
        <v>0.00470860352732229</v>
      </c>
      <c r="T40" s="7">
        <f>VLOOKUP(A40,[1]蒲公英数据!A:J,10,0)</f>
        <v>0.171588222652052</v>
      </c>
    </row>
    <row r="41" ht="16.5" spans="1:20">
      <c r="A41" s="5" t="s">
        <v>363</v>
      </c>
      <c r="B41" s="6" t="s">
        <v>21</v>
      </c>
      <c r="C41" s="5" t="s">
        <v>364</v>
      </c>
      <c r="D41" s="5" t="s">
        <v>365</v>
      </c>
      <c r="E41" s="5">
        <f t="shared" si="0"/>
        <v>967</v>
      </c>
      <c r="F41" s="6">
        <v>124</v>
      </c>
      <c r="G41" s="6">
        <v>82</v>
      </c>
      <c r="H41" s="6">
        <v>19</v>
      </c>
      <c r="I41" s="6">
        <v>13</v>
      </c>
      <c r="J41" s="6">
        <v>238</v>
      </c>
      <c r="K41" s="5" t="s">
        <v>366</v>
      </c>
      <c r="L41" s="5" t="s">
        <v>367</v>
      </c>
      <c r="M41" s="5" t="s">
        <v>36</v>
      </c>
      <c r="N41" s="5" t="s">
        <v>368</v>
      </c>
      <c r="O41" s="5" t="s">
        <v>369</v>
      </c>
      <c r="P41" s="5" t="s">
        <v>370</v>
      </c>
      <c r="Q41" s="5" t="s">
        <v>371</v>
      </c>
      <c r="R41" s="7">
        <f>VLOOKUP(A41,[1]蒲公英数据!A:H,8,0)</f>
        <v>0.0632658680985819</v>
      </c>
      <c r="S41" s="7">
        <f>VLOOKUP(A41,[1]蒲公英数据!A:I,9,0)</f>
        <v>0.261153427638738</v>
      </c>
      <c r="T41" s="7">
        <f>VLOOKUP(A41,[1]蒲公英数据!A:J,10,0)</f>
        <v>0.164053075995175</v>
      </c>
    </row>
    <row r="42" ht="16.5" spans="1:20">
      <c r="A42" s="5" t="s">
        <v>372</v>
      </c>
      <c r="B42" s="6" t="s">
        <v>21</v>
      </c>
      <c r="C42" s="5" t="s">
        <v>373</v>
      </c>
      <c r="D42" s="5" t="s">
        <v>374</v>
      </c>
      <c r="E42" s="5">
        <f t="shared" si="0"/>
        <v>919</v>
      </c>
      <c r="F42" s="6">
        <v>154</v>
      </c>
      <c r="G42" s="6">
        <v>59</v>
      </c>
      <c r="H42" s="6">
        <v>13</v>
      </c>
      <c r="I42" s="6">
        <v>11</v>
      </c>
      <c r="J42" s="6">
        <v>237</v>
      </c>
      <c r="K42" s="5" t="s">
        <v>375</v>
      </c>
      <c r="L42" s="5" t="s">
        <v>376</v>
      </c>
      <c r="M42" s="5" t="s">
        <v>377</v>
      </c>
      <c r="N42" s="5" t="s">
        <v>378</v>
      </c>
      <c r="O42" s="5" t="s">
        <v>379</v>
      </c>
      <c r="P42" s="5" t="s">
        <v>380</v>
      </c>
      <c r="Q42" s="5" t="s">
        <v>381</v>
      </c>
      <c r="R42" s="7">
        <f>VLOOKUP(A42,[1]蒲公英数据!A:H,8,0)</f>
        <v>0.115004179437169</v>
      </c>
      <c r="S42" s="7">
        <f>VLOOKUP(A42,[1]蒲公英数据!A:I,9,0)</f>
        <v>0.136886735311932</v>
      </c>
      <c r="T42" s="7">
        <f>VLOOKUP(A42,[1]蒲公英数据!A:J,10,0)</f>
        <v>0.14594127806563</v>
      </c>
    </row>
    <row r="43" ht="16.5" spans="1:20">
      <c r="A43" s="5" t="s">
        <v>382</v>
      </c>
      <c r="B43" s="6" t="s">
        <v>21</v>
      </c>
      <c r="C43" s="5" t="s">
        <v>383</v>
      </c>
      <c r="D43" s="5" t="s">
        <v>384</v>
      </c>
      <c r="E43" s="5">
        <f t="shared" si="0"/>
        <v>924</v>
      </c>
      <c r="F43" s="6">
        <v>158</v>
      </c>
      <c r="G43" s="6">
        <v>85</v>
      </c>
      <c r="H43" s="6">
        <v>19</v>
      </c>
      <c r="I43" s="6">
        <v>5</v>
      </c>
      <c r="J43" s="6">
        <v>267</v>
      </c>
      <c r="K43" s="5" t="s">
        <v>385</v>
      </c>
      <c r="L43" s="5" t="s">
        <v>386</v>
      </c>
      <c r="M43" s="5" t="s">
        <v>387</v>
      </c>
      <c r="N43" s="5" t="s">
        <v>388</v>
      </c>
      <c r="O43" s="5" t="s">
        <v>389</v>
      </c>
      <c r="P43" s="5" t="s">
        <v>390</v>
      </c>
      <c r="Q43" s="5" t="s">
        <v>78</v>
      </c>
      <c r="R43" s="7">
        <f>VLOOKUP(A43,[1]蒲公英数据!A:H,8,0)</f>
        <v>0.0969829031176668</v>
      </c>
      <c r="S43" s="7">
        <f>VLOOKUP(A43,[1]蒲公英数据!A:I,9,0)</f>
        <v>0.094020048392672</v>
      </c>
      <c r="T43" s="7">
        <f>VLOOKUP(A43,[1]蒲公英数据!A:J,10,0)</f>
        <v>0.142857142857143</v>
      </c>
    </row>
    <row r="44" ht="16.5" spans="1:20">
      <c r="A44" s="5" t="s">
        <v>391</v>
      </c>
      <c r="B44" s="6" t="s">
        <v>21</v>
      </c>
      <c r="C44" s="5" t="s">
        <v>392</v>
      </c>
      <c r="D44" s="5" t="s">
        <v>393</v>
      </c>
      <c r="E44" s="5">
        <f t="shared" si="0"/>
        <v>241</v>
      </c>
      <c r="F44" s="6">
        <v>169</v>
      </c>
      <c r="G44" s="6">
        <v>76</v>
      </c>
      <c r="H44" s="6">
        <v>62</v>
      </c>
      <c r="I44" s="6">
        <v>2</v>
      </c>
      <c r="J44" s="6">
        <v>309</v>
      </c>
      <c r="K44" s="5" t="s">
        <v>394</v>
      </c>
      <c r="L44" s="5" t="s">
        <v>395</v>
      </c>
      <c r="M44" s="5" t="s">
        <v>330</v>
      </c>
      <c r="N44" s="5" t="s">
        <v>396</v>
      </c>
      <c r="O44" s="5" t="s">
        <v>397</v>
      </c>
      <c r="P44" s="5" t="s">
        <v>398</v>
      </c>
      <c r="Q44" s="5" t="s">
        <v>399</v>
      </c>
      <c r="R44" s="7">
        <f>VLOOKUP(A44,[1]蒲公英数据!A:H,8,0)</f>
        <v>0.122177004246558</v>
      </c>
      <c r="S44" s="7">
        <f>VLOOKUP(A44,[1]蒲公英数据!A:I,9,0)</f>
        <v>0.019748535316964</v>
      </c>
      <c r="T44" s="7">
        <f>VLOOKUP(A44,[1]蒲公英数据!A:J,10,0)</f>
        <v>0.134431977559607</v>
      </c>
    </row>
    <row r="45" ht="16.5" spans="1:20">
      <c r="A45" s="5" t="s">
        <v>400</v>
      </c>
      <c r="B45" s="6" t="s">
        <v>21</v>
      </c>
      <c r="C45" s="5" t="s">
        <v>401</v>
      </c>
      <c r="D45" s="5" t="s">
        <v>402</v>
      </c>
      <c r="E45" s="5">
        <f t="shared" si="0"/>
        <v>934</v>
      </c>
      <c r="F45" s="6">
        <v>141</v>
      </c>
      <c r="G45" s="6">
        <v>105</v>
      </c>
      <c r="H45" s="6">
        <v>22</v>
      </c>
      <c r="I45" s="6">
        <v>8</v>
      </c>
      <c r="J45" s="6">
        <v>276</v>
      </c>
      <c r="K45" s="5" t="s">
        <v>403</v>
      </c>
      <c r="L45" s="5" t="s">
        <v>404</v>
      </c>
      <c r="M45" s="5" t="s">
        <v>36</v>
      </c>
      <c r="N45" s="5" t="s">
        <v>405</v>
      </c>
      <c r="O45" s="5" t="s">
        <v>406</v>
      </c>
      <c r="P45" s="5" t="s">
        <v>407</v>
      </c>
      <c r="Q45" s="5" t="s">
        <v>78</v>
      </c>
      <c r="R45" s="7">
        <f>VLOOKUP(A45,[1]蒲公英数据!A:H,8,0)</f>
        <v>0.18441797571782</v>
      </c>
      <c r="S45" s="7">
        <f>VLOOKUP(A45,[1]蒲公英数据!A:I,9,0)</f>
        <v>0.04399375975039</v>
      </c>
      <c r="T45" s="7">
        <f>VLOOKUP(A45,[1]蒲公英数据!A:J,10,0)</f>
        <v>0.129434954007884</v>
      </c>
    </row>
    <row r="46" ht="16.5" spans="1:20">
      <c r="A46" s="5" t="s">
        <v>408</v>
      </c>
      <c r="B46" s="6" t="s">
        <v>21</v>
      </c>
      <c r="C46" s="5" t="s">
        <v>409</v>
      </c>
      <c r="D46" s="5" t="s">
        <v>410</v>
      </c>
      <c r="E46" s="5">
        <f t="shared" si="0"/>
        <v>958</v>
      </c>
      <c r="F46" s="6">
        <v>164</v>
      </c>
      <c r="G46" s="6">
        <v>76</v>
      </c>
      <c r="H46" s="6">
        <v>18</v>
      </c>
      <c r="I46" s="6">
        <v>15</v>
      </c>
      <c r="J46" s="6">
        <v>273</v>
      </c>
      <c r="K46" s="5" t="s">
        <v>411</v>
      </c>
      <c r="L46" s="5" t="s">
        <v>412</v>
      </c>
      <c r="M46" s="5" t="s">
        <v>46</v>
      </c>
      <c r="N46" s="5" t="s">
        <v>413</v>
      </c>
      <c r="O46" s="5" t="s">
        <v>414</v>
      </c>
      <c r="P46" s="5" t="s">
        <v>415</v>
      </c>
      <c r="Q46" s="5" t="s">
        <v>107</v>
      </c>
      <c r="R46" s="7">
        <f>VLOOKUP(A46,[1]蒲公英数据!A:H,8,0)</f>
        <v>0.103375587931628</v>
      </c>
      <c r="S46" s="7">
        <f>VLOOKUP(A46,[1]蒲公英数据!A:I,9,0)</f>
        <v>0.00971008461645166</v>
      </c>
      <c r="T46" s="7">
        <f>VLOOKUP(A46,[1]蒲公英数据!A:J,10,0)</f>
        <v>0.127950126168918</v>
      </c>
    </row>
    <row r="47" ht="16.5" spans="1:20">
      <c r="A47" s="5" t="s">
        <v>416</v>
      </c>
      <c r="B47" s="6" t="s">
        <v>21</v>
      </c>
      <c r="C47" s="5" t="s">
        <v>417</v>
      </c>
      <c r="D47" s="5" t="s">
        <v>418</v>
      </c>
      <c r="E47" s="5">
        <f t="shared" si="0"/>
        <v>652</v>
      </c>
      <c r="F47" s="6">
        <v>324</v>
      </c>
      <c r="G47" s="6">
        <v>101</v>
      </c>
      <c r="H47" s="6">
        <v>29</v>
      </c>
      <c r="I47" s="6">
        <v>9</v>
      </c>
      <c r="J47" s="6">
        <v>463</v>
      </c>
      <c r="K47" s="5" t="s">
        <v>419</v>
      </c>
      <c r="L47" s="5" t="s">
        <v>420</v>
      </c>
      <c r="M47" s="5" t="s">
        <v>64</v>
      </c>
      <c r="N47" s="5" t="s">
        <v>421</v>
      </c>
      <c r="O47" s="5" t="s">
        <v>422</v>
      </c>
      <c r="P47" s="5" t="s">
        <v>423</v>
      </c>
      <c r="Q47" s="5" t="s">
        <v>78</v>
      </c>
      <c r="R47" s="7">
        <f>VLOOKUP(A47,[1]蒲公英数据!A:H,8,0)</f>
        <v>0.20074780509738</v>
      </c>
      <c r="S47" s="7">
        <f>VLOOKUP(A47,[1]蒲公英数据!A:I,9,0)</f>
        <v>0.0286455263468113</v>
      </c>
      <c r="T47" s="7">
        <f>VLOOKUP(A47,[1]蒲公英数据!A:J,10,0)</f>
        <v>0.12531114895847</v>
      </c>
    </row>
    <row r="48" ht="16.5" spans="1:20">
      <c r="A48" s="5" t="s">
        <v>424</v>
      </c>
      <c r="B48" s="6" t="s">
        <v>21</v>
      </c>
      <c r="C48" s="5" t="s">
        <v>425</v>
      </c>
      <c r="D48" s="5" t="s">
        <v>426</v>
      </c>
      <c r="E48" s="5">
        <f t="shared" si="0"/>
        <v>681</v>
      </c>
      <c r="F48" s="6">
        <v>461</v>
      </c>
      <c r="G48" s="6">
        <v>149</v>
      </c>
      <c r="H48" s="6">
        <v>50</v>
      </c>
      <c r="I48" s="6">
        <v>31</v>
      </c>
      <c r="J48" s="6">
        <v>691</v>
      </c>
      <c r="K48" s="5" t="s">
        <v>427</v>
      </c>
      <c r="L48" s="5" t="s">
        <v>428</v>
      </c>
      <c r="M48" s="5" t="s">
        <v>46</v>
      </c>
      <c r="N48" s="5" t="s">
        <v>429</v>
      </c>
      <c r="O48" s="5" t="s">
        <v>430</v>
      </c>
      <c r="P48" s="5" t="s">
        <v>431</v>
      </c>
      <c r="Q48" s="5" t="s">
        <v>107</v>
      </c>
      <c r="R48" s="7">
        <f>VLOOKUP(A48,[1]蒲公英数据!A:H,8,0)</f>
        <v>0.134297555422207</v>
      </c>
      <c r="S48" s="7">
        <f>VLOOKUP(A48,[1]蒲公英数据!A:I,9,0)</f>
        <v>0.0298993610890717</v>
      </c>
      <c r="T48" s="7">
        <f>VLOOKUP(A48,[1]蒲公英数据!A:J,10,0)</f>
        <v>0.122072093131984</v>
      </c>
    </row>
    <row r="49" ht="16.5" spans="1:20">
      <c r="A49" s="5" t="s">
        <v>432</v>
      </c>
      <c r="B49" s="6" t="s">
        <v>21</v>
      </c>
      <c r="C49" s="5" t="s">
        <v>433</v>
      </c>
      <c r="D49" s="5" t="s">
        <v>434</v>
      </c>
      <c r="E49" s="5">
        <f t="shared" si="0"/>
        <v>886</v>
      </c>
      <c r="F49" s="6">
        <v>545</v>
      </c>
      <c r="G49" s="6">
        <v>168</v>
      </c>
      <c r="H49" s="6">
        <v>59</v>
      </c>
      <c r="I49" s="6">
        <v>9</v>
      </c>
      <c r="J49" s="6">
        <v>781</v>
      </c>
      <c r="K49" s="5" t="s">
        <v>435</v>
      </c>
      <c r="L49" s="5" t="s">
        <v>436</v>
      </c>
      <c r="M49" s="5" t="s">
        <v>320</v>
      </c>
      <c r="N49" s="5" t="s">
        <v>437</v>
      </c>
      <c r="O49" s="5" t="s">
        <v>438</v>
      </c>
      <c r="P49" s="5" t="s">
        <v>439</v>
      </c>
      <c r="Q49" s="5" t="s">
        <v>107</v>
      </c>
      <c r="R49" s="7">
        <f>VLOOKUP(A49,[1]蒲公英数据!A:H,8,0)</f>
        <v>0.102476229364755</v>
      </c>
      <c r="S49" s="7">
        <f>VLOOKUP(A49,[1]蒲公英数据!A:I,9,0)</f>
        <v>0.0573502205777715</v>
      </c>
      <c r="T49" s="7">
        <f>VLOOKUP(A49,[1]蒲公英数据!A:J,10,0)</f>
        <v>0.121814729689218</v>
      </c>
    </row>
    <row r="50" ht="16.5" spans="1:20">
      <c r="A50" s="5" t="s">
        <v>440</v>
      </c>
      <c r="B50" s="6" t="s">
        <v>21</v>
      </c>
      <c r="C50" s="5" t="s">
        <v>441</v>
      </c>
      <c r="D50" s="5" t="s">
        <v>442</v>
      </c>
      <c r="E50" s="5">
        <f t="shared" si="0"/>
        <v>917</v>
      </c>
      <c r="F50" s="6">
        <v>186</v>
      </c>
      <c r="G50" s="6">
        <v>74</v>
      </c>
      <c r="H50" s="6">
        <v>14</v>
      </c>
      <c r="I50" s="6">
        <v>11</v>
      </c>
      <c r="J50" s="6">
        <v>285</v>
      </c>
      <c r="K50" s="5" t="s">
        <v>443</v>
      </c>
      <c r="L50" s="5" t="s">
        <v>444</v>
      </c>
      <c r="M50" s="5" t="s">
        <v>250</v>
      </c>
      <c r="N50" s="5" t="s">
        <v>445</v>
      </c>
      <c r="O50" s="5" t="s">
        <v>446</v>
      </c>
      <c r="P50" s="5" t="s">
        <v>447</v>
      </c>
      <c r="Q50" s="5" t="s">
        <v>448</v>
      </c>
      <c r="R50" s="7">
        <f>VLOOKUP(A50,[1]蒲公英数据!A:H,8,0)</f>
        <v>0.144889198282863</v>
      </c>
      <c r="S50" s="7">
        <f>VLOOKUP(A50,[1]蒲公英数据!A:I,9,0)</f>
        <v>0.0155882980995089</v>
      </c>
      <c r="T50" s="7">
        <f>VLOOKUP(A50,[1]蒲公英数据!A:J,10,0)</f>
        <v>0.113194156957833</v>
      </c>
    </row>
    <row r="51" ht="16.5" spans="1:20">
      <c r="A51" s="5" t="s">
        <v>449</v>
      </c>
      <c r="B51" s="6" t="s">
        <v>21</v>
      </c>
      <c r="C51" s="5" t="s">
        <v>450</v>
      </c>
      <c r="D51" s="5" t="s">
        <v>451</v>
      </c>
      <c r="E51" s="5">
        <f t="shared" si="0"/>
        <v>937</v>
      </c>
      <c r="F51" s="6">
        <v>144</v>
      </c>
      <c r="G51" s="6">
        <v>41</v>
      </c>
      <c r="H51" s="6">
        <v>27</v>
      </c>
      <c r="I51" s="6">
        <v>4</v>
      </c>
      <c r="J51" s="6">
        <v>216</v>
      </c>
      <c r="K51" s="5" t="s">
        <v>452</v>
      </c>
      <c r="L51" s="5" t="s">
        <v>453</v>
      </c>
      <c r="M51" s="5" t="s">
        <v>172</v>
      </c>
      <c r="N51" s="5" t="s">
        <v>454</v>
      </c>
      <c r="O51" s="5" t="s">
        <v>455</v>
      </c>
      <c r="P51" s="5" t="s">
        <v>456</v>
      </c>
      <c r="Q51" s="5" t="s">
        <v>457</v>
      </c>
      <c r="R51" s="7">
        <f>VLOOKUP(A51,[1]蒲公英数据!A:H,8,0)</f>
        <v>0.224980184389471</v>
      </c>
      <c r="S51" s="7">
        <f>VLOOKUP(A51,[1]蒲公英数据!A:I,9,0)</f>
        <v>0.0400519191544595</v>
      </c>
      <c r="T51" s="7">
        <f>VLOOKUP(A51,[1]蒲公英数据!A:J,10,0)</f>
        <v>0.110829639012033</v>
      </c>
    </row>
    <row r="52" ht="16.5" spans="1:20">
      <c r="A52" s="5" t="s">
        <v>458</v>
      </c>
      <c r="B52" s="6" t="s">
        <v>21</v>
      </c>
      <c r="C52" s="5" t="s">
        <v>459</v>
      </c>
      <c r="D52" s="5" t="s">
        <v>460</v>
      </c>
      <c r="E52" s="5">
        <f t="shared" si="0"/>
        <v>977</v>
      </c>
      <c r="F52" s="6">
        <v>195</v>
      </c>
      <c r="G52" s="6">
        <v>51</v>
      </c>
      <c r="H52" s="6">
        <v>34</v>
      </c>
      <c r="I52" s="6">
        <v>24</v>
      </c>
      <c r="J52" s="6">
        <v>304</v>
      </c>
      <c r="K52" s="5" t="s">
        <v>461</v>
      </c>
      <c r="L52" s="5" t="s">
        <v>462</v>
      </c>
      <c r="M52" s="5" t="s">
        <v>463</v>
      </c>
      <c r="N52" s="5" t="s">
        <v>464</v>
      </c>
      <c r="O52" s="5" t="s">
        <v>465</v>
      </c>
      <c r="P52" s="5" t="s">
        <v>466</v>
      </c>
      <c r="Q52" s="5" t="s">
        <v>467</v>
      </c>
      <c r="R52" s="7">
        <f>VLOOKUP(A52,[1]蒲公英数据!A:H,8,0)</f>
        <v>0.0787519839790364</v>
      </c>
      <c r="S52" s="7">
        <f>VLOOKUP(A52,[1]蒲公英数据!A:I,9,0)</f>
        <v>0.0439605031786825</v>
      </c>
      <c r="T52" s="7">
        <f>VLOOKUP(A52,[1]蒲公英数据!A:J,10,0)</f>
        <v>0.108630952380952</v>
      </c>
    </row>
    <row r="53" ht="16.5" spans="1:20">
      <c r="A53" s="5" t="s">
        <v>468</v>
      </c>
      <c r="B53" s="6" t="s">
        <v>21</v>
      </c>
      <c r="C53" s="5" t="s">
        <v>469</v>
      </c>
      <c r="D53" s="5" t="s">
        <v>470</v>
      </c>
      <c r="E53" s="5">
        <f t="shared" si="0"/>
        <v>788</v>
      </c>
      <c r="F53" s="6">
        <v>305</v>
      </c>
      <c r="G53" s="6">
        <v>151</v>
      </c>
      <c r="H53" s="6">
        <v>29</v>
      </c>
      <c r="I53" s="6">
        <v>18</v>
      </c>
      <c r="J53" s="6">
        <v>503</v>
      </c>
      <c r="K53" s="5" t="s">
        <v>471</v>
      </c>
      <c r="L53" s="5" t="s">
        <v>472</v>
      </c>
      <c r="M53" s="5" t="s">
        <v>224</v>
      </c>
      <c r="N53" s="5" t="s">
        <v>473</v>
      </c>
      <c r="O53" s="5" t="s">
        <v>474</v>
      </c>
      <c r="P53" s="5" t="s">
        <v>475</v>
      </c>
      <c r="Q53" s="5" t="s">
        <v>78</v>
      </c>
      <c r="R53" s="7">
        <f>VLOOKUP(A53,[1]蒲公英数据!A:H,8,0)</f>
        <v>0.163938301001471</v>
      </c>
      <c r="S53" s="7">
        <f>VLOOKUP(A53,[1]蒲公英数据!A:I,9,0)</f>
        <v>0.0273936028194585</v>
      </c>
      <c r="T53" s="7">
        <f>VLOOKUP(A53,[1]蒲公英数据!A:J,10,0)</f>
        <v>0.106743737957611</v>
      </c>
    </row>
    <row r="54" ht="16.5" spans="1:20">
      <c r="A54" s="5" t="s">
        <v>476</v>
      </c>
      <c r="B54" s="6" t="s">
        <v>21</v>
      </c>
      <c r="C54" s="5" t="s">
        <v>477</v>
      </c>
      <c r="D54" s="5" t="s">
        <v>478</v>
      </c>
      <c r="E54" s="5">
        <f t="shared" si="0"/>
        <v>973</v>
      </c>
      <c r="F54" s="6">
        <v>102</v>
      </c>
      <c r="G54" s="6">
        <v>37</v>
      </c>
      <c r="H54" s="6">
        <v>11</v>
      </c>
      <c r="I54" s="6">
        <v>8</v>
      </c>
      <c r="J54" s="6">
        <v>158</v>
      </c>
      <c r="K54" s="5" t="s">
        <v>479</v>
      </c>
      <c r="L54" s="5" t="s">
        <v>480</v>
      </c>
      <c r="M54" s="5" t="s">
        <v>481</v>
      </c>
      <c r="N54" s="5" t="s">
        <v>482</v>
      </c>
      <c r="O54" s="5" t="s">
        <v>483</v>
      </c>
      <c r="P54" s="5" t="s">
        <v>484</v>
      </c>
      <c r="Q54" s="5" t="s">
        <v>107</v>
      </c>
      <c r="R54" s="7">
        <f>VLOOKUP(A54,[1]蒲公英数据!A:H,8,0)</f>
        <v>0.0800576236338059</v>
      </c>
      <c r="S54" s="7">
        <f>VLOOKUP(A54,[1]蒲公英数据!A:I,9,0)</f>
        <v>0.00475908873306863</v>
      </c>
      <c r="T54" s="7">
        <f>VLOOKUP(A54,[1]蒲公英数据!A:J,10,0)</f>
        <v>0.104352976014214</v>
      </c>
    </row>
    <row r="55" ht="16.5" spans="1:20">
      <c r="A55" s="5" t="s">
        <v>485</v>
      </c>
      <c r="B55" s="6" t="s">
        <v>21</v>
      </c>
      <c r="C55" s="5" t="s">
        <v>486</v>
      </c>
      <c r="D55" s="5" t="s">
        <v>487</v>
      </c>
      <c r="E55" s="5">
        <f t="shared" si="0"/>
        <v>898</v>
      </c>
      <c r="F55" s="6">
        <v>147</v>
      </c>
      <c r="G55" s="6">
        <v>61</v>
      </c>
      <c r="H55" s="6">
        <v>56</v>
      </c>
      <c r="I55" s="6">
        <v>19</v>
      </c>
      <c r="J55" s="6">
        <v>283</v>
      </c>
      <c r="K55" s="5" t="s">
        <v>488</v>
      </c>
      <c r="L55" s="5" t="s">
        <v>489</v>
      </c>
      <c r="M55" s="5" t="s">
        <v>113</v>
      </c>
      <c r="N55" s="5" t="s">
        <v>490</v>
      </c>
      <c r="O55" s="5" t="s">
        <v>491</v>
      </c>
      <c r="P55" s="5" t="s">
        <v>492</v>
      </c>
      <c r="Q55" s="5" t="s">
        <v>78</v>
      </c>
      <c r="R55" s="7">
        <f>VLOOKUP(A55,[1]蒲公英数据!A:H,8,0)</f>
        <v>0.0890425142165374</v>
      </c>
      <c r="S55" s="7">
        <f>VLOOKUP(A55,[1]蒲公英数据!A:I,9,0)</f>
        <v>0.0477638640429338</v>
      </c>
      <c r="T55" s="7">
        <f>VLOOKUP(A55,[1]蒲公英数据!A:J,10,0)</f>
        <v>0.100123915737299</v>
      </c>
    </row>
    <row r="56" ht="16.5" spans="1:20">
      <c r="A56" s="5" t="s">
        <v>493</v>
      </c>
      <c r="B56" s="6" t="s">
        <v>21</v>
      </c>
      <c r="C56" s="5" t="s">
        <v>494</v>
      </c>
      <c r="D56" s="5" t="s">
        <v>495</v>
      </c>
      <c r="E56" s="5">
        <f t="shared" si="0"/>
        <v>917</v>
      </c>
      <c r="F56" s="6">
        <v>117</v>
      </c>
      <c r="G56" s="6">
        <v>20</v>
      </c>
      <c r="H56" s="6">
        <v>10</v>
      </c>
      <c r="I56" s="6">
        <v>15</v>
      </c>
      <c r="J56" s="6">
        <v>162</v>
      </c>
      <c r="K56" s="5" t="s">
        <v>496</v>
      </c>
      <c r="L56" s="5" t="s">
        <v>497</v>
      </c>
      <c r="M56" s="5" t="s">
        <v>498</v>
      </c>
      <c r="N56" s="5" t="s">
        <v>499</v>
      </c>
      <c r="O56" s="5" t="s">
        <v>500</v>
      </c>
      <c r="P56" s="5" t="s">
        <v>501</v>
      </c>
      <c r="Q56" s="5" t="s">
        <v>502</v>
      </c>
      <c r="R56" s="7">
        <f>VLOOKUP(A56,[1]蒲公英数据!A:H,8,0)</f>
        <v>0.0869345321719584</v>
      </c>
      <c r="S56" s="7">
        <f>VLOOKUP(A56,[1]蒲公英数据!A:I,9,0)</f>
        <v>0.0266645119586296</v>
      </c>
      <c r="T56" s="7">
        <f>VLOOKUP(A56,[1]蒲公英数据!A:J,10,0)</f>
        <v>0.098117118673346</v>
      </c>
    </row>
    <row r="57" ht="16.5" spans="1:20">
      <c r="A57" s="5" t="s">
        <v>503</v>
      </c>
      <c r="B57" s="6" t="s">
        <v>21</v>
      </c>
      <c r="C57" s="5" t="s">
        <v>504</v>
      </c>
      <c r="D57" s="5" t="s">
        <v>505</v>
      </c>
      <c r="E57" s="5">
        <f t="shared" si="0"/>
        <v>980</v>
      </c>
      <c r="F57" s="6">
        <v>324</v>
      </c>
      <c r="G57" s="6">
        <v>75</v>
      </c>
      <c r="H57" s="6">
        <v>15</v>
      </c>
      <c r="I57" s="6">
        <v>16</v>
      </c>
      <c r="J57" s="6">
        <v>430</v>
      </c>
      <c r="K57" s="5" t="s">
        <v>506</v>
      </c>
      <c r="L57" s="5" t="s">
        <v>507</v>
      </c>
      <c r="M57" s="5" t="s">
        <v>64</v>
      </c>
      <c r="N57" s="5" t="s">
        <v>508</v>
      </c>
      <c r="O57" s="5" t="s">
        <v>509</v>
      </c>
      <c r="P57" s="5" t="s">
        <v>510</v>
      </c>
      <c r="Q57" s="5" t="s">
        <v>511</v>
      </c>
      <c r="R57" s="7">
        <f>VLOOKUP(A57,[1]蒲公英数据!A:H,8,0)</f>
        <v>0.209773586376213</v>
      </c>
      <c r="S57" s="7">
        <f>VLOOKUP(A57,[1]蒲公英数据!A:I,9,0)</f>
        <v>0.0295374326583689</v>
      </c>
      <c r="T57" s="7">
        <f>VLOOKUP(A57,[1]蒲公英数据!A:J,10,0)</f>
        <v>0.0912991656734207</v>
      </c>
    </row>
    <row r="58" ht="16.5" spans="1:20">
      <c r="A58" s="5" t="s">
        <v>512</v>
      </c>
      <c r="B58" s="6" t="s">
        <v>21</v>
      </c>
      <c r="C58" s="5" t="s">
        <v>513</v>
      </c>
      <c r="D58" s="5" t="s">
        <v>514</v>
      </c>
      <c r="E58" s="5">
        <f t="shared" si="0"/>
        <v>973</v>
      </c>
      <c r="F58" s="6">
        <v>131</v>
      </c>
      <c r="G58" s="6">
        <v>124</v>
      </c>
      <c r="H58" s="6">
        <v>47</v>
      </c>
      <c r="I58" s="6">
        <v>25</v>
      </c>
      <c r="J58" s="6">
        <v>327</v>
      </c>
      <c r="K58" s="5" t="s">
        <v>515</v>
      </c>
      <c r="L58" s="5" t="s">
        <v>516</v>
      </c>
      <c r="M58" s="5" t="s">
        <v>46</v>
      </c>
      <c r="N58" s="5" t="s">
        <v>517</v>
      </c>
      <c r="O58" s="5" t="s">
        <v>518</v>
      </c>
      <c r="P58" s="5" t="s">
        <v>519</v>
      </c>
      <c r="Q58" s="5" t="s">
        <v>78</v>
      </c>
      <c r="R58" s="7">
        <f>VLOOKUP(A58,[1]蒲公英数据!A:H,8,0)</f>
        <v>0.089132493471461</v>
      </c>
      <c r="S58" s="7">
        <f>VLOOKUP(A58,[1]蒲公英数据!A:I,9,0)</f>
        <v>0.104636188023181</v>
      </c>
      <c r="T58" s="7">
        <f>VLOOKUP(A58,[1]蒲公英数据!A:J,10,0)</f>
        <v>0.0858772224085877</v>
      </c>
    </row>
    <row r="59" ht="16.5" spans="1:20">
      <c r="A59" s="5" t="s">
        <v>520</v>
      </c>
      <c r="B59" s="6" t="s">
        <v>21</v>
      </c>
      <c r="C59" s="5" t="s">
        <v>521</v>
      </c>
      <c r="D59" s="5" t="s">
        <v>522</v>
      </c>
      <c r="E59" s="5">
        <f t="shared" si="0"/>
        <v>857</v>
      </c>
      <c r="F59" s="6">
        <v>412</v>
      </c>
      <c r="G59" s="6">
        <v>200</v>
      </c>
      <c r="H59" s="6">
        <v>30</v>
      </c>
      <c r="I59" s="6">
        <v>14</v>
      </c>
      <c r="J59" s="6">
        <v>656</v>
      </c>
      <c r="K59" s="5" t="s">
        <v>523</v>
      </c>
      <c r="L59" s="5" t="s">
        <v>524</v>
      </c>
      <c r="M59" s="5" t="s">
        <v>36</v>
      </c>
      <c r="N59" s="5" t="s">
        <v>525</v>
      </c>
      <c r="O59" s="5" t="s">
        <v>526</v>
      </c>
      <c r="P59" s="5" t="s">
        <v>527</v>
      </c>
      <c r="Q59" s="5" t="s">
        <v>528</v>
      </c>
      <c r="R59" s="7">
        <f>VLOOKUP(A59,[1]蒲公英数据!A:H,8,0)</f>
        <v>0.333686025550592</v>
      </c>
      <c r="S59" s="7">
        <f>VLOOKUP(A59,[1]蒲公英数据!A:I,9,0)</f>
        <v>0.0286553141514974</v>
      </c>
      <c r="T59" s="7">
        <f>VLOOKUP(A59,[1]蒲公英数据!A:J,10,0)</f>
        <v>0.0693529639674545</v>
      </c>
    </row>
    <row r="60" ht="16.5" spans="1:20">
      <c r="A60" s="5" t="s">
        <v>529</v>
      </c>
      <c r="B60" s="6" t="s">
        <v>21</v>
      </c>
      <c r="C60" s="5" t="s">
        <v>530</v>
      </c>
      <c r="D60" s="5" t="s">
        <v>531</v>
      </c>
      <c r="E60" s="5">
        <f t="shared" si="0"/>
        <v>903</v>
      </c>
      <c r="F60" s="6">
        <v>489</v>
      </c>
      <c r="G60" s="6">
        <v>106</v>
      </c>
      <c r="H60" s="6">
        <v>49</v>
      </c>
      <c r="I60" s="6">
        <v>4</v>
      </c>
      <c r="J60" s="6">
        <v>648</v>
      </c>
      <c r="K60" s="5" t="s">
        <v>532</v>
      </c>
      <c r="L60" s="5" t="s">
        <v>533</v>
      </c>
      <c r="M60" s="5" t="s">
        <v>74</v>
      </c>
      <c r="N60" s="5" t="s">
        <v>534</v>
      </c>
      <c r="O60" s="5" t="s">
        <v>535</v>
      </c>
      <c r="P60" s="5" t="s">
        <v>536</v>
      </c>
      <c r="Q60" s="5" t="s">
        <v>448</v>
      </c>
      <c r="R60" s="7">
        <f>VLOOKUP(A60,[1]蒲公英数据!A:H,8,0)</f>
        <v>0.0853767731192761</v>
      </c>
      <c r="S60" s="7">
        <f>VLOOKUP(A60,[1]蒲公英数据!A:I,9,0)</f>
        <v>0.0923643054277829</v>
      </c>
      <c r="T60" s="7">
        <f>VLOOKUP(A60,[1]蒲公英数据!A:J,10,0)</f>
        <v>0.0682518714222809</v>
      </c>
    </row>
    <row r="61" ht="16.5" spans="1:20">
      <c r="A61" s="5" t="s">
        <v>537</v>
      </c>
      <c r="B61" s="6" t="s">
        <v>21</v>
      </c>
      <c r="C61" s="5" t="s">
        <v>538</v>
      </c>
      <c r="D61" s="5" t="s">
        <v>539</v>
      </c>
      <c r="E61" s="5">
        <f t="shared" si="0"/>
        <v>977</v>
      </c>
      <c r="F61" s="6">
        <v>312</v>
      </c>
      <c r="G61" s="6">
        <v>127</v>
      </c>
      <c r="H61" s="6">
        <v>47</v>
      </c>
      <c r="I61" s="6">
        <v>3</v>
      </c>
      <c r="J61" s="6">
        <v>489</v>
      </c>
      <c r="K61" s="5" t="s">
        <v>540</v>
      </c>
      <c r="L61" s="5" t="s">
        <v>541</v>
      </c>
      <c r="M61" s="5" t="s">
        <v>64</v>
      </c>
      <c r="N61" s="5" t="s">
        <v>542</v>
      </c>
      <c r="O61" s="5" t="s">
        <v>543</v>
      </c>
      <c r="P61" s="5" t="s">
        <v>544</v>
      </c>
      <c r="Q61" s="5" t="s">
        <v>545</v>
      </c>
      <c r="R61" s="7">
        <f>VLOOKUP(A61,[1]蒲公英数据!A:H,8,0)</f>
        <v>0.0518770157825028</v>
      </c>
      <c r="S61" s="7">
        <f>VLOOKUP(A61,[1]蒲公英数据!A:I,9,0)</f>
        <v>0.100175404404599</v>
      </c>
      <c r="T61" s="7">
        <f>VLOOKUP(A61,[1]蒲公英数据!A:J,10,0)</f>
        <v>0.0652951699463327</v>
      </c>
    </row>
    <row r="62" ht="16.5" spans="1:20">
      <c r="A62" s="5" t="s">
        <v>546</v>
      </c>
      <c r="B62" s="6" t="s">
        <v>21</v>
      </c>
      <c r="C62" s="5" t="s">
        <v>547</v>
      </c>
      <c r="D62" s="5" t="s">
        <v>548</v>
      </c>
      <c r="E62" s="5">
        <f t="shared" si="0"/>
        <v>951</v>
      </c>
      <c r="F62" s="6">
        <v>164</v>
      </c>
      <c r="G62" s="6">
        <v>141</v>
      </c>
      <c r="H62" s="6">
        <v>33</v>
      </c>
      <c r="I62" s="6">
        <v>9</v>
      </c>
      <c r="J62" s="6">
        <v>347</v>
      </c>
      <c r="K62" s="5" t="s">
        <v>198</v>
      </c>
      <c r="L62" s="5" t="s">
        <v>199</v>
      </c>
      <c r="M62" s="5" t="s">
        <v>64</v>
      </c>
      <c r="N62" s="5" t="s">
        <v>549</v>
      </c>
      <c r="O62" s="5" t="s">
        <v>201</v>
      </c>
      <c r="P62" s="5" t="s">
        <v>550</v>
      </c>
      <c r="Q62" s="5" t="s">
        <v>551</v>
      </c>
      <c r="R62" s="7">
        <f>VLOOKUP(A62,[1]蒲公英数据!A:H,8,0)</f>
        <v>0.137481698389458</v>
      </c>
      <c r="S62" s="7">
        <f>VLOOKUP(A62,[1]蒲公英数据!A:I,9,0)</f>
        <v>0.0934504792332268</v>
      </c>
      <c r="T62" s="7">
        <f>VLOOKUP(A62,[1]蒲公英数据!A:J,10,0)</f>
        <v>0.0588025659301497</v>
      </c>
    </row>
    <row r="63" ht="16.5" spans="1:20">
      <c r="A63" s="5" t="s">
        <v>552</v>
      </c>
      <c r="B63" s="6" t="s">
        <v>21</v>
      </c>
      <c r="C63" s="5" t="s">
        <v>553</v>
      </c>
      <c r="D63" s="5" t="s">
        <v>554</v>
      </c>
      <c r="E63" s="5">
        <f t="shared" si="0"/>
        <v>434</v>
      </c>
      <c r="F63" s="6">
        <v>563</v>
      </c>
      <c r="G63" s="6">
        <v>97</v>
      </c>
      <c r="H63" s="6">
        <v>426</v>
      </c>
      <c r="I63" s="6">
        <v>15</v>
      </c>
      <c r="J63" s="6">
        <v>1101</v>
      </c>
      <c r="K63" s="5" t="s">
        <v>555</v>
      </c>
      <c r="L63" s="5" t="s">
        <v>556</v>
      </c>
      <c r="M63" s="5" t="s">
        <v>74</v>
      </c>
      <c r="N63" s="5" t="s">
        <v>557</v>
      </c>
      <c r="O63" s="5" t="s">
        <v>558</v>
      </c>
      <c r="P63" s="5" t="s">
        <v>559</v>
      </c>
      <c r="Q63" s="5" t="s">
        <v>560</v>
      </c>
      <c r="R63" s="7">
        <f>VLOOKUP(A63,[1]蒲公英数据!A:H,8,0)</f>
        <v>0.168487974610424</v>
      </c>
      <c r="S63" s="7">
        <f>VLOOKUP(A63,[1]蒲公英数据!A:I,9,0)</f>
        <v>0.022264797821922</v>
      </c>
      <c r="T63" s="7">
        <f>VLOOKUP(A63,[1]蒲公英数据!A:J,10,0)</f>
        <v>0.0574211306373068</v>
      </c>
    </row>
    <row r="64" ht="16.5" spans="1:20">
      <c r="A64" s="5" t="s">
        <v>561</v>
      </c>
      <c r="B64" s="6" t="s">
        <v>21</v>
      </c>
      <c r="C64" s="5" t="s">
        <v>562</v>
      </c>
      <c r="D64" s="5" t="s">
        <v>563</v>
      </c>
      <c r="E64" s="5">
        <f t="shared" si="0"/>
        <v>711</v>
      </c>
      <c r="F64" s="6">
        <v>522</v>
      </c>
      <c r="G64" s="6">
        <v>60</v>
      </c>
      <c r="H64" s="6">
        <v>41</v>
      </c>
      <c r="I64" s="6">
        <v>29</v>
      </c>
      <c r="J64" s="6">
        <v>652</v>
      </c>
      <c r="K64" s="5" t="s">
        <v>564</v>
      </c>
      <c r="L64" s="5" t="s">
        <v>565</v>
      </c>
      <c r="M64" s="5" t="s">
        <v>566</v>
      </c>
      <c r="N64" s="5" t="s">
        <v>567</v>
      </c>
      <c r="O64" s="5" t="s">
        <v>568</v>
      </c>
      <c r="P64" s="5" t="s">
        <v>569</v>
      </c>
      <c r="Q64" s="5" t="s">
        <v>570</v>
      </c>
      <c r="R64" s="7">
        <f>VLOOKUP(A64,[1]蒲公英数据!A:H,8,0)</f>
        <v>0.222921545667447</v>
      </c>
      <c r="S64" s="7">
        <f>VLOOKUP(A64,[1]蒲公英数据!A:I,9,0)</f>
        <v>0.0449770190413657</v>
      </c>
      <c r="T64" s="7">
        <f>VLOOKUP(A64,[1]蒲公英数据!A:J,10,0)</f>
        <v>0.0552494306075968</v>
      </c>
    </row>
    <row r="65" ht="16.5" spans="1:20">
      <c r="A65" s="5" t="s">
        <v>571</v>
      </c>
      <c r="B65" s="6" t="s">
        <v>21</v>
      </c>
      <c r="C65" s="5" t="s">
        <v>572</v>
      </c>
      <c r="D65" s="5" t="s">
        <v>573</v>
      </c>
      <c r="E65" s="5">
        <f t="shared" si="0"/>
        <v>952</v>
      </c>
      <c r="F65" s="6">
        <v>622</v>
      </c>
      <c r="G65" s="6">
        <v>259</v>
      </c>
      <c r="H65" s="6">
        <v>60</v>
      </c>
      <c r="I65" s="6">
        <v>29</v>
      </c>
      <c r="J65" s="6">
        <v>970</v>
      </c>
      <c r="K65" s="5" t="s">
        <v>574</v>
      </c>
      <c r="L65" s="5" t="s">
        <v>575</v>
      </c>
      <c r="M65" s="5" t="s">
        <v>172</v>
      </c>
      <c r="N65" s="5" t="s">
        <v>576</v>
      </c>
      <c r="O65" s="5" t="s">
        <v>577</v>
      </c>
      <c r="P65" s="5" t="s">
        <v>578</v>
      </c>
      <c r="Q65" s="5" t="s">
        <v>579</v>
      </c>
      <c r="R65" s="7">
        <f>VLOOKUP(A65,[1]蒲公英数据!A:H,8,0)</f>
        <v>0.233892002997023</v>
      </c>
      <c r="S65" s="7">
        <f>VLOOKUP(A65,[1]蒲公英数据!A:I,9,0)</f>
        <v>0.0177473233404711</v>
      </c>
      <c r="T65" s="7">
        <f>VLOOKUP(A65,[1]蒲公英数据!A:J,10,0)</f>
        <v>0.054588039741604</v>
      </c>
    </row>
    <row r="66" ht="16.5" spans="1:20">
      <c r="A66" s="5" t="s">
        <v>580</v>
      </c>
      <c r="B66" s="6" t="s">
        <v>21</v>
      </c>
      <c r="C66" s="5" t="s">
        <v>581</v>
      </c>
      <c r="D66" s="5" t="s">
        <v>582</v>
      </c>
      <c r="E66" s="5">
        <f t="shared" ref="E66:E68" si="1">LEN(D66)</f>
        <v>938</v>
      </c>
      <c r="F66" s="6">
        <v>237</v>
      </c>
      <c r="G66" s="6">
        <v>66</v>
      </c>
      <c r="H66" s="6">
        <v>16</v>
      </c>
      <c r="I66" s="6">
        <v>8</v>
      </c>
      <c r="J66" s="6">
        <v>327</v>
      </c>
      <c r="K66" s="5" t="s">
        <v>583</v>
      </c>
      <c r="L66" s="5" t="s">
        <v>584</v>
      </c>
      <c r="M66" s="5" t="s">
        <v>113</v>
      </c>
      <c r="N66" s="5" t="s">
        <v>585</v>
      </c>
      <c r="O66" s="5" t="s">
        <v>586</v>
      </c>
      <c r="P66" s="5" t="s">
        <v>587</v>
      </c>
      <c r="Q66" s="5" t="s">
        <v>588</v>
      </c>
      <c r="R66" s="7">
        <f>VLOOKUP(A66,[1]蒲公英数据!A:H,8,0)</f>
        <v>0.169221897153145</v>
      </c>
      <c r="S66" s="7">
        <f>VLOOKUP(A66,[1]蒲公英数据!A:I,9,0)</f>
        <v>0.0285928019283518</v>
      </c>
      <c r="T66" s="7">
        <f>VLOOKUP(A66,[1]蒲公英数据!A:J,10,0)</f>
        <v>0.0387379818911603</v>
      </c>
    </row>
    <row r="67" ht="16.5" spans="1:20">
      <c r="A67" s="5" t="s">
        <v>589</v>
      </c>
      <c r="B67" s="6" t="s">
        <v>21</v>
      </c>
      <c r="C67" s="5" t="s">
        <v>590</v>
      </c>
      <c r="D67" s="5" t="s">
        <v>591</v>
      </c>
      <c r="E67" s="5">
        <f t="shared" si="1"/>
        <v>898</v>
      </c>
      <c r="F67" s="6">
        <v>402</v>
      </c>
      <c r="G67" s="6">
        <v>176</v>
      </c>
      <c r="H67" s="6">
        <v>22</v>
      </c>
      <c r="I67" s="6">
        <v>23</v>
      </c>
      <c r="J67" s="6">
        <v>623</v>
      </c>
      <c r="K67" s="5" t="s">
        <v>592</v>
      </c>
      <c r="L67" s="5" t="s">
        <v>593</v>
      </c>
      <c r="M67" s="5" t="s">
        <v>131</v>
      </c>
      <c r="N67" s="5" t="s">
        <v>594</v>
      </c>
      <c r="O67" s="5" t="s">
        <v>595</v>
      </c>
      <c r="P67" s="5" t="s">
        <v>596</v>
      </c>
      <c r="Q67" s="5" t="s">
        <v>78</v>
      </c>
      <c r="R67" s="7">
        <f>VLOOKUP(A67,[1]蒲公英数据!A:H,8,0)</f>
        <v>0.121195808211312</v>
      </c>
      <c r="S67" s="7">
        <f>VLOOKUP(A67,[1]蒲公英数据!A:I,9,0)</f>
        <v>0.0910571513177376</v>
      </c>
      <c r="T67" s="7">
        <f>VLOOKUP(A67,[1]蒲公英数据!A:J,10,0)</f>
        <v>0.0319483789738747</v>
      </c>
    </row>
    <row r="68" ht="16.5" spans="1:20">
      <c r="A68" s="5" t="s">
        <v>597</v>
      </c>
      <c r="B68" s="6" t="s">
        <v>21</v>
      </c>
      <c r="C68" s="5" t="s">
        <v>598</v>
      </c>
      <c r="D68" s="5" t="s">
        <v>599</v>
      </c>
      <c r="E68" s="5">
        <f t="shared" si="1"/>
        <v>867</v>
      </c>
      <c r="F68" s="6">
        <v>234</v>
      </c>
      <c r="G68" s="6">
        <v>97</v>
      </c>
      <c r="H68" s="6">
        <v>46</v>
      </c>
      <c r="I68" s="6">
        <v>9</v>
      </c>
      <c r="J68" s="6">
        <v>386</v>
      </c>
      <c r="K68" s="5" t="s">
        <v>600</v>
      </c>
      <c r="L68" s="5" t="s">
        <v>601</v>
      </c>
      <c r="M68" s="5" t="s">
        <v>224</v>
      </c>
      <c r="N68" s="5" t="s">
        <v>602</v>
      </c>
      <c r="O68" s="5" t="s">
        <v>603</v>
      </c>
      <c r="P68" s="5" t="s">
        <v>604</v>
      </c>
      <c r="Q68" s="5" t="s">
        <v>78</v>
      </c>
      <c r="R68" s="7">
        <f>VLOOKUP(A68,[1]蒲公英数据!A:H,8,0)</f>
        <v>0.49008513848475</v>
      </c>
      <c r="S68" s="7">
        <f>VLOOKUP(A68,[1]蒲公英数据!A:I,9,0)</f>
        <v>0.0448598130841121</v>
      </c>
      <c r="T68" s="7">
        <f>VLOOKUP(A68,[1]蒲公英数据!A:J,10,0)</f>
        <v>0.0121642169285352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PenguinKing</cp:lastModifiedBy>
  <dcterms:created xsi:type="dcterms:W3CDTF">2025-11-12T06:56:53Z</dcterms:created>
  <dcterms:modified xsi:type="dcterms:W3CDTF">2025-11-12T06:57:39Z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A3F6DD3C81E44944A38E1606A246EADD_11</vt:lpwstr>
  </property>
  <property fmtid="{D5CDD505-2E9C-101B-9397-08002B2CF9AE}" pid="3" name="KSOProductBuildVer">
    <vt:lpwstr>2052-12.1.0.23542</vt:lpwstr>
  </property>
</Properties>
</file>